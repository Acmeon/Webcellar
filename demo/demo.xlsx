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~\Webcellar\demo\"/>
    </mc:Choice>
  </mc:AlternateContent>
  <xr:revisionPtr revIDLastSave="0" documentId="13_ncr:1_{45E27335-113A-435E-AE67-B52599EC5749}" xr6:coauthVersionLast="47" xr6:coauthVersionMax="47" xr10:uidLastSave="{00000000-0000-0000-0000-000000000000}"/>
  <bookViews>
    <workbookView xWindow="-120" yWindow="-120" windowWidth="29040" windowHeight="15720" xr2:uid="{5844D1C2-6B2C-497A-8A2F-C753586316ED}"/>
  </bookViews>
  <sheets>
    <sheet name="Sheet1" sheetId="1" r:id="rId1"/>
    <sheet name="Sheet2" sheetId="4" r:id="rId2"/>
    <sheet name="icons" sheetId="3" r:id="rId3"/>
  </sheets>
  <definedNames>
    <definedName name="Hello">Sheet1!#REF!</definedName>
    <definedName name="XXX">icons!$H$2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 a="1"/>
  <c r="A11" i="1" s="1"/>
  <c r="A63" i="1" a="1"/>
  <c r="A63" i="1" s="1"/>
  <c r="A66" i="1" a="1"/>
  <c r="A66" i="1" s="1"/>
  <c r="A60" i="1" a="1"/>
  <c r="A60" i="1" s="1"/>
  <c r="A45" i="1" a="1"/>
  <c r="A45" i="1" s="1"/>
  <c r="A57" i="1" a="1"/>
  <c r="A57" i="1" s="1"/>
  <c r="A54" i="1" a="1"/>
  <c r="A54" i="1" s="1"/>
  <c r="A51" i="1" a="1"/>
  <c r="A51" i="1" s="1"/>
  <c r="A48" i="1" a="1"/>
  <c r="A48" i="1" s="1"/>
  <c r="A42" i="1" a="1"/>
  <c r="A42" i="1" s="1"/>
  <c r="A36" i="1" a="1"/>
  <c r="A36" i="1" s="1"/>
  <c r="A33" i="1" a="1"/>
  <c r="A33" i="1" s="1"/>
  <c r="A30" i="1" a="1"/>
  <c r="A30" i="1" s="1"/>
  <c r="A27" i="1" a="1"/>
  <c r="A27" i="1" s="1"/>
  <c r="A24" i="1" a="1"/>
  <c r="A24" i="1" s="1"/>
  <c r="A21" i="1" a="1"/>
  <c r="A21" i="1" s="1"/>
  <c r="A15" i="1" a="1"/>
  <c r="A15" i="1" s="1"/>
  <c r="A18" i="1" a="1"/>
  <c r="A18" i="1" s="1"/>
  <c r="A5" i="1" a="1"/>
  <c r="A5" i="1" s="1"/>
  <c r="A2" i="1" a="1"/>
  <c r="A2" i="1" s="1"/>
  <c r="A39" i="1" l="1" a="1"/>
  <c r="A39" i="1" s="1"/>
  <c r="A8" i="1" a="1"/>
  <c r="A8" i="1" s="1"/>
  <c r="H4" i="3" l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/>
  <c r="F22" i="3" a="1"/>
  <c r="F22" i="3" s="1"/>
  <c r="F23" i="3" a="1"/>
  <c r="F23" i="3" s="1"/>
  <c r="F24" i="3" a="1"/>
  <c r="F24" i="3" s="1"/>
  <c r="F25" i="3" a="1"/>
  <c r="F25" i="3"/>
  <c r="F26" i="3" a="1"/>
  <c r="F26" i="3" s="1"/>
  <c r="F27" i="3" a="1"/>
  <c r="F27" i="3"/>
  <c r="F28" i="3" a="1"/>
  <c r="F28" i="3" s="1"/>
  <c r="F29" i="3" a="1"/>
  <c r="F29" i="3" s="1"/>
  <c r="F30" i="3" a="1"/>
  <c r="F30" i="3" s="1"/>
  <c r="F31" i="3" a="1"/>
  <c r="F31" i="3"/>
  <c r="F32" i="3" a="1"/>
  <c r="F32" i="3" s="1"/>
  <c r="F33" i="3" a="1"/>
  <c r="F33" i="3" s="1"/>
  <c r="F34" i="3" a="1"/>
  <c r="F34" i="3" s="1"/>
  <c r="F35" i="3" a="1"/>
  <c r="F35" i="3"/>
  <c r="F36" i="3" a="1"/>
  <c r="F36" i="3" s="1"/>
  <c r="F37" i="3" a="1"/>
  <c r="F37" i="3"/>
  <c r="F38" i="3" a="1"/>
  <c r="F38" i="3" s="1"/>
  <c r="F39" i="3" a="1"/>
  <c r="F39" i="3"/>
  <c r="F40" i="3" a="1"/>
  <c r="F40" i="3" s="1"/>
  <c r="F41" i="3" a="1"/>
  <c r="F41" i="3"/>
  <c r="F42" i="3" a="1"/>
  <c r="F42" i="3" s="1"/>
  <c r="F43" i="3" a="1"/>
  <c r="F43" i="3" s="1"/>
  <c r="F44" i="3" a="1"/>
  <c r="F44" i="3" s="1"/>
  <c r="F45" i="3" a="1"/>
  <c r="F45" i="3"/>
  <c r="F46" i="3" a="1"/>
  <c r="F46" i="3" s="1"/>
  <c r="F47" i="3" a="1"/>
  <c r="F47" i="3"/>
  <c r="F48" i="3" a="1"/>
  <c r="F48" i="3" s="1"/>
  <c r="F49" i="3" a="1"/>
  <c r="F49" i="3"/>
  <c r="F50" i="3" a="1"/>
  <c r="F50" i="3" s="1"/>
  <c r="F51" i="3" a="1"/>
  <c r="F51" i="3"/>
  <c r="F52" i="3" a="1"/>
  <c r="F52" i="3" s="1"/>
  <c r="F53" i="3" a="1"/>
  <c r="F53" i="3" s="1"/>
  <c r="F54" i="3" a="1"/>
  <c r="F54" i="3" s="1"/>
  <c r="F55" i="3" a="1"/>
  <c r="F55" i="3"/>
  <c r="F56" i="3" a="1"/>
  <c r="F56" i="3" s="1"/>
  <c r="F57" i="3" a="1"/>
  <c r="F57" i="3"/>
  <c r="F58" i="3" a="1"/>
  <c r="F58" i="3" s="1"/>
  <c r="F59" i="3" a="1"/>
  <c r="F59" i="3"/>
  <c r="F60" i="3" a="1"/>
  <c r="F60" i="3" s="1"/>
  <c r="F61" i="3" a="1"/>
  <c r="F61" i="3"/>
  <c r="F62" i="3" a="1"/>
  <c r="F62" i="3" s="1"/>
  <c r="F63" i="3" a="1"/>
  <c r="F63" i="3" s="1"/>
  <c r="F64" i="3" a="1"/>
  <c r="F64" i="3" s="1"/>
  <c r="F65" i="3" a="1"/>
  <c r="F65" i="3"/>
  <c r="F66" i="3" a="1"/>
  <c r="F66" i="3" s="1"/>
  <c r="F67" i="3" a="1"/>
  <c r="F67" i="3"/>
  <c r="F68" i="3" a="1"/>
  <c r="F68" i="3" s="1"/>
  <c r="F69" i="3" a="1"/>
  <c r="F69" i="3"/>
  <c r="F70" i="3" a="1"/>
  <c r="F70" i="3" s="1"/>
  <c r="F71" i="3" a="1"/>
  <c r="F71" i="3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/>
  <c r="F78" i="3" a="1"/>
  <c r="F78" i="3" s="1"/>
  <c r="F79" i="3" a="1"/>
  <c r="F79" i="3"/>
  <c r="F80" i="3" a="1"/>
  <c r="F80" i="3" s="1"/>
  <c r="F81" i="3" a="1"/>
  <c r="F81" i="3"/>
  <c r="F82" i="3" a="1"/>
  <c r="F82" i="3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/>
  <c r="F90" i="3" a="1"/>
  <c r="F90" i="3" s="1"/>
  <c r="F91" i="3" a="1"/>
  <c r="F91" i="3"/>
  <c r="F92" i="3" a="1"/>
  <c r="F92" i="3" s="1"/>
  <c r="F93" i="3" a="1"/>
  <c r="F93" i="3" s="1"/>
  <c r="F94" i="3" a="1"/>
  <c r="F94" i="3" s="1"/>
  <c r="F95" i="3" a="1"/>
  <c r="F95" i="3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/>
  <c r="F120" i="3" a="1"/>
  <c r="F120" i="3"/>
  <c r="F121" i="3" a="1"/>
  <c r="F121" i="3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/>
  <c r="F132" i="3" a="1"/>
  <c r="F132" i="3" s="1"/>
  <c r="F133" i="3" a="1"/>
  <c r="F133" i="3" s="1"/>
  <c r="F134" i="3" a="1"/>
  <c r="F134" i="3" s="1"/>
  <c r="F135" i="3" a="1"/>
  <c r="F135" i="3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/>
  <c r="F142" i="3" a="1"/>
  <c r="F142" i="3"/>
  <c r="F143" i="3" a="1"/>
  <c r="F143" i="3" s="1"/>
  <c r="F144" i="3" a="1"/>
  <c r="F144" i="3" s="1"/>
  <c r="F145" i="3" a="1"/>
  <c r="F145" i="3"/>
  <c r="F146" i="3" a="1"/>
  <c r="F146" i="3" s="1"/>
  <c r="F147" i="3" a="1"/>
  <c r="F147" i="3"/>
  <c r="F148" i="3" a="1"/>
  <c r="F148" i="3" s="1"/>
  <c r="F149" i="3" a="1"/>
  <c r="F149" i="3" s="1"/>
  <c r="F150" i="3" a="1"/>
  <c r="F150" i="3"/>
  <c r="F151" i="3" a="1"/>
  <c r="F151" i="3"/>
  <c r="F152" i="3" a="1"/>
  <c r="F152" i="3" s="1"/>
  <c r="F153" i="3" a="1"/>
  <c r="F153" i="3" s="1"/>
  <c r="F154" i="3" a="1"/>
  <c r="F154" i="3" s="1"/>
  <c r="F155" i="3" a="1"/>
  <c r="F155" i="3"/>
  <c r="F156" i="3" a="1"/>
  <c r="F156" i="3" s="1"/>
  <c r="F157" i="3" a="1"/>
  <c r="F157" i="3"/>
  <c r="F158" i="3" a="1"/>
  <c r="F158" i="3" s="1"/>
  <c r="F159" i="3" a="1"/>
  <c r="F159" i="3"/>
  <c r="F160" i="3" a="1"/>
  <c r="F160" i="3" s="1"/>
  <c r="F161" i="3" a="1"/>
  <c r="F161" i="3"/>
  <c r="F162" i="3" a="1"/>
  <c r="F162" i="3" s="1"/>
  <c r="F163" i="3" a="1"/>
  <c r="F163" i="3" s="1"/>
  <c r="F164" i="3" a="1"/>
  <c r="F164" i="3" s="1"/>
  <c r="F165" i="3" a="1"/>
  <c r="F165" i="3"/>
  <c r="F166" i="3" a="1"/>
  <c r="F166" i="3" s="1"/>
  <c r="F167" i="3" a="1"/>
  <c r="F167" i="3"/>
  <c r="F168" i="3" a="1"/>
  <c r="F168" i="3" s="1"/>
  <c r="F169" i="3" a="1"/>
  <c r="F169" i="3"/>
  <c r="F170" i="3" a="1"/>
  <c r="F170" i="3" s="1"/>
  <c r="F171" i="3" a="1"/>
  <c r="F171" i="3"/>
  <c r="F172" i="3" a="1"/>
  <c r="F172" i="3" s="1"/>
  <c r="F173" i="3" a="1"/>
  <c r="F173" i="3" s="1"/>
  <c r="F174" i="3" a="1"/>
  <c r="F174" i="3" s="1"/>
  <c r="F175" i="3" a="1"/>
  <c r="F175" i="3"/>
  <c r="F176" i="3" a="1"/>
  <c r="F176" i="3" s="1"/>
  <c r="F177" i="3" a="1"/>
  <c r="F177" i="3"/>
  <c r="F178" i="3" a="1"/>
  <c r="F178" i="3" s="1"/>
  <c r="F179" i="3" a="1"/>
  <c r="F179" i="3"/>
  <c r="F180" i="3" a="1"/>
  <c r="F180" i="3"/>
  <c r="F181" i="3" a="1"/>
  <c r="F181" i="3" s="1"/>
  <c r="F182" i="3" a="1"/>
  <c r="F182" i="3" s="1"/>
  <c r="F183" i="3" a="1"/>
  <c r="F183" i="3" s="1"/>
  <c r="F184" i="3" a="1"/>
  <c r="F184" i="3" s="1"/>
  <c r="F185" i="3" a="1"/>
  <c r="F185" i="3"/>
  <c r="F186" i="3" a="1"/>
  <c r="F186" i="3" s="1"/>
  <c r="F187" i="3" a="1"/>
  <c r="F187" i="3"/>
  <c r="F188" i="3" a="1"/>
  <c r="F188" i="3" s="1"/>
  <c r="F189" i="3" a="1"/>
  <c r="F189" i="3"/>
  <c r="F190" i="3" a="1"/>
  <c r="F190" i="3" s="1"/>
  <c r="F191" i="3" a="1"/>
  <c r="F191" i="3" s="1"/>
  <c r="F192" i="3" a="1"/>
  <c r="F192" i="3"/>
  <c r="F193" i="3" a="1"/>
  <c r="F193" i="3" s="1"/>
  <c r="F194" i="3" a="1"/>
  <c r="F194" i="3" s="1"/>
  <c r="F195" i="3" a="1"/>
  <c r="F195" i="3" s="1"/>
  <c r="F196" i="3" a="1"/>
  <c r="F196" i="3" s="1"/>
  <c r="F197" i="3" a="1"/>
  <c r="F197" i="3"/>
  <c r="F198" i="3" a="1"/>
  <c r="F198" i="3" s="1"/>
  <c r="F199" i="3" a="1"/>
  <c r="F199" i="3"/>
  <c r="F200" i="3" a="1"/>
  <c r="F200" i="3"/>
  <c r="F201" i="3" a="1"/>
  <c r="F201" i="3"/>
  <c r="F202" i="3" a="1"/>
  <c r="F202" i="3"/>
  <c r="F203" i="3" a="1"/>
  <c r="F203" i="3" s="1"/>
  <c r="F204" i="3" a="1"/>
  <c r="F204" i="3"/>
  <c r="F205" i="3" a="1"/>
  <c r="F205" i="3"/>
  <c r="F206" i="3" a="1"/>
  <c r="F206" i="3" s="1"/>
  <c r="F207" i="3" a="1"/>
  <c r="F207" i="3" s="1"/>
  <c r="F208" i="3" a="1"/>
  <c r="F208" i="3" s="1"/>
  <c r="F209" i="3" a="1"/>
  <c r="F209" i="3"/>
  <c r="F210" i="3" a="1"/>
  <c r="F210" i="3" s="1"/>
  <c r="F211" i="3" a="1"/>
  <c r="F211" i="3" s="1"/>
  <c r="F212" i="3" a="1"/>
  <c r="F212" i="3" s="1"/>
  <c r="F213" i="3" a="1"/>
  <c r="F213" i="3" s="1"/>
  <c r="F214" i="3" a="1"/>
  <c r="F214" i="3"/>
  <c r="F215" i="3" a="1"/>
  <c r="F215" i="3"/>
  <c r="F216" i="3" a="1"/>
  <c r="F216" i="3" s="1"/>
  <c r="F217" i="3" a="1"/>
  <c r="F217" i="3"/>
  <c r="F218" i="3" a="1"/>
  <c r="F218" i="3" s="1"/>
  <c r="F219" i="3" a="1"/>
  <c r="F219" i="3" s="1"/>
  <c r="F220" i="3" a="1"/>
  <c r="F220" i="3"/>
  <c r="F221" i="3" a="1"/>
  <c r="F221" i="3" s="1"/>
  <c r="F222" i="3" a="1"/>
  <c r="F222" i="3"/>
  <c r="F223" i="3" a="1"/>
  <c r="F223" i="3" s="1"/>
  <c r="F224" i="3" a="1"/>
  <c r="F224" i="3" s="1"/>
  <c r="F225" i="3" a="1"/>
  <c r="F225" i="3" s="1"/>
  <c r="F226" i="3" a="1"/>
  <c r="F226" i="3" s="1"/>
  <c r="F227" i="3" a="1"/>
  <c r="F227" i="3"/>
  <c r="F228" i="3" a="1"/>
  <c r="F228" i="3" s="1"/>
  <c r="F229" i="3" a="1"/>
  <c r="F229" i="3"/>
  <c r="F230" i="3" a="1"/>
  <c r="F230" i="3" s="1"/>
  <c r="F231" i="3" a="1"/>
  <c r="F231" i="3" s="1"/>
  <c r="F232" i="3" a="1"/>
  <c r="F232" i="3"/>
  <c r="F233" i="3" a="1"/>
  <c r="F233" i="3" s="1"/>
  <c r="F234" i="3" a="1"/>
  <c r="F234" i="3" s="1"/>
  <c r="F235" i="3" a="1"/>
  <c r="F235" i="3"/>
  <c r="F236" i="3" a="1"/>
  <c r="F236" i="3" s="1"/>
  <c r="F237" i="3" a="1"/>
  <c r="F237" i="3" s="1"/>
  <c r="F238" i="3" a="1"/>
  <c r="F238" i="3" s="1"/>
  <c r="F239" i="3" a="1"/>
  <c r="F239" i="3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/>
  <c r="F246" i="3" a="1"/>
  <c r="F246" i="3" s="1"/>
  <c r="F247" i="3" a="1"/>
  <c r="F247" i="3"/>
  <c r="F248" i="3" a="1"/>
  <c r="F248" i="3" s="1"/>
  <c r="F249" i="3" a="1"/>
  <c r="F249" i="3" s="1"/>
  <c r="F250" i="3" a="1"/>
  <c r="F250" i="3" s="1"/>
  <c r="F251" i="3" a="1"/>
  <c r="F251" i="3"/>
  <c r="F252" i="3" a="1"/>
  <c r="F252" i="3"/>
  <c r="F253" i="3" a="1"/>
  <c r="F253" i="3" s="1"/>
  <c r="F254" i="3" a="1"/>
  <c r="F254" i="3" s="1"/>
  <c r="F255" i="3" a="1"/>
  <c r="F255" i="3"/>
  <c r="F256" i="3" a="1"/>
  <c r="F256" i="3" s="1"/>
  <c r="F257" i="3" a="1"/>
  <c r="F257" i="3"/>
  <c r="F258" i="3" a="1"/>
  <c r="F258" i="3" s="1"/>
  <c r="F259" i="3" a="1"/>
  <c r="F259" i="3"/>
  <c r="F260" i="3" a="1"/>
  <c r="F260" i="3"/>
  <c r="F261" i="3" a="1"/>
  <c r="F261" i="3"/>
  <c r="F262" i="3" a="1"/>
  <c r="F262" i="3"/>
  <c r="F263" i="3" a="1"/>
  <c r="F263" i="3" s="1"/>
  <c r="F264" i="3" a="1"/>
  <c r="F264" i="3"/>
  <c r="F265" i="3" a="1"/>
  <c r="F265" i="3"/>
  <c r="F266" i="3" a="1"/>
  <c r="F266" i="3" s="1"/>
  <c r="F267" i="3" a="1"/>
  <c r="F267" i="3"/>
  <c r="F268" i="3" a="1"/>
  <c r="F268" i="3" s="1"/>
  <c r="F269" i="3" a="1"/>
  <c r="F269" i="3"/>
  <c r="F270" i="3" a="1"/>
  <c r="F270" i="3" s="1"/>
  <c r="F271" i="3" a="1"/>
  <c r="F271" i="3" s="1"/>
  <c r="F272" i="3" a="1"/>
  <c r="F272" i="3" s="1"/>
  <c r="F273" i="3" a="1"/>
  <c r="F273" i="3" s="1"/>
  <c r="F274" i="3" a="1"/>
  <c r="F274" i="3"/>
  <c r="F275" i="3" a="1"/>
  <c r="F275" i="3" s="1"/>
  <c r="F276" i="3" a="1"/>
  <c r="F276" i="3" s="1"/>
  <c r="F277" i="3" a="1"/>
  <c r="F277" i="3"/>
  <c r="F278" i="3" a="1"/>
  <c r="F278" i="3" s="1"/>
  <c r="F279" i="3" a="1"/>
  <c r="F279" i="3"/>
  <c r="F280" i="3" a="1"/>
  <c r="F280" i="3" s="1"/>
  <c r="F281" i="3" a="1"/>
  <c r="F281" i="3"/>
  <c r="F282" i="3" a="1"/>
  <c r="F282" i="3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/>
  <c r="F290" i="3" a="1"/>
  <c r="F290" i="3" s="1"/>
  <c r="F291" i="3" a="1"/>
  <c r="F291" i="3"/>
  <c r="F292" i="3" a="1"/>
  <c r="F292" i="3" s="1"/>
  <c r="F293" i="3" a="1"/>
  <c r="F293" i="3" s="1"/>
  <c r="F294" i="3" a="1"/>
  <c r="F294" i="3" s="1"/>
  <c r="F295" i="3" a="1"/>
  <c r="F295" i="3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/>
  <c r="F308" i="3" a="1"/>
  <c r="F308" i="3" s="1"/>
  <c r="F309" i="3" a="1"/>
  <c r="F309" i="3" s="1"/>
  <c r="F310" i="3" a="1"/>
  <c r="F310" i="3"/>
  <c r="F311" i="3" a="1"/>
  <c r="F311" i="3"/>
  <c r="F312" i="3" a="1"/>
  <c r="F312" i="3" s="1"/>
  <c r="F313" i="3" a="1"/>
  <c r="F313" i="3" s="1"/>
  <c r="F314" i="3" a="1"/>
  <c r="F314" i="3" s="1"/>
  <c r="F315" i="3" a="1"/>
  <c r="F315" i="3"/>
  <c r="F316" i="3" a="1"/>
  <c r="F316" i="3" s="1"/>
  <c r="F317" i="3" a="1"/>
  <c r="F317" i="3" s="1"/>
  <c r="F318" i="3" a="1"/>
  <c r="F318" i="3" s="1"/>
  <c r="F319" i="3" a="1"/>
  <c r="F319" i="3"/>
  <c r="F320" i="3" a="1"/>
  <c r="F320" i="3"/>
  <c r="F321" i="3" a="1"/>
  <c r="F321" i="3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/>
  <c r="F340" i="3" a="1"/>
  <c r="F340" i="3" s="1"/>
  <c r="F341" i="3" a="1"/>
  <c r="F341" i="3"/>
  <c r="F342" i="3" a="1"/>
  <c r="F342" i="3"/>
  <c r="F343" i="3" a="1"/>
  <c r="F343" i="3" s="1"/>
  <c r="F344" i="3" a="1"/>
  <c r="F344" i="3" s="1"/>
  <c r="F345" i="3" a="1"/>
  <c r="F345" i="3"/>
  <c r="F346" i="3" a="1"/>
  <c r="F346" i="3" s="1"/>
  <c r="F347" i="3" a="1"/>
  <c r="F347" i="3" s="1"/>
  <c r="F348" i="3" a="1"/>
  <c r="F348" i="3" s="1"/>
  <c r="F349" i="3" a="1"/>
  <c r="F349" i="3" s="1"/>
  <c r="F350" i="3" a="1"/>
  <c r="F350" i="3"/>
  <c r="F351" i="3" a="1"/>
  <c r="F351" i="3"/>
  <c r="F352" i="3" a="1"/>
  <c r="F352" i="3" s="1"/>
  <c r="F353" i="3" a="1"/>
  <c r="F353" i="3" s="1"/>
  <c r="F354" i="3" a="1"/>
  <c r="F354" i="3"/>
  <c r="F355" i="3" a="1"/>
  <c r="F355" i="3"/>
  <c r="F356" i="3" a="1"/>
  <c r="F356" i="3" s="1"/>
  <c r="F357" i="3" a="1"/>
  <c r="F357" i="3"/>
  <c r="F358" i="3" a="1"/>
  <c r="F358" i="3" s="1"/>
  <c r="F359" i="3" a="1"/>
  <c r="F359" i="3" s="1"/>
  <c r="F360" i="3" a="1"/>
  <c r="F360" i="3" s="1"/>
  <c r="F361" i="3" a="1"/>
  <c r="F361" i="3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/>
  <c r="F368" i="3" a="1"/>
  <c r="F368" i="3" s="1"/>
  <c r="F369" i="3" a="1"/>
  <c r="F369" i="3"/>
  <c r="F370" i="3" a="1"/>
  <c r="F370" i="3"/>
  <c r="F371" i="3" a="1"/>
  <c r="F371" i="3"/>
  <c r="F372" i="3" a="1"/>
  <c r="F372" i="3" s="1"/>
  <c r="F373" i="3" a="1"/>
  <c r="F373" i="3" s="1"/>
  <c r="F374" i="3" a="1"/>
  <c r="F374" i="3" s="1"/>
  <c r="F375" i="3" a="1"/>
  <c r="F375" i="3"/>
  <c r="F376" i="3" a="1"/>
  <c r="F376" i="3" s="1"/>
  <c r="F377" i="3" a="1"/>
  <c r="F377" i="3" s="1"/>
  <c r="F378" i="3" a="1"/>
  <c r="F378" i="3" s="1"/>
  <c r="F379" i="3" a="1"/>
  <c r="F379" i="3"/>
  <c r="F380" i="3" a="1"/>
  <c r="F380" i="3"/>
  <c r="F381" i="3" a="1"/>
  <c r="F381" i="3" s="1"/>
  <c r="F382" i="3" a="1"/>
  <c r="F382" i="3" s="1"/>
  <c r="F383" i="3" a="1"/>
  <c r="F383" i="3" s="1"/>
  <c r="F384" i="3" a="1"/>
  <c r="F384" i="3" s="1"/>
  <c r="F385" i="3" a="1"/>
  <c r="F385" i="3"/>
  <c r="F386" i="3" a="1"/>
  <c r="F386" i="3" s="1"/>
  <c r="F387" i="3" a="1"/>
  <c r="F387" i="3"/>
  <c r="F388" i="3" a="1"/>
  <c r="F388" i="3" s="1"/>
  <c r="F389" i="3" a="1"/>
  <c r="F389" i="3" s="1"/>
  <c r="F390" i="3" a="1"/>
  <c r="F390" i="3" s="1"/>
  <c r="F391" i="3" a="1"/>
  <c r="F391" i="3" s="1"/>
  <c r="F392" i="3" a="1"/>
  <c r="F392" i="3"/>
  <c r="F393" i="3" a="1"/>
  <c r="F393" i="3" s="1"/>
  <c r="F394" i="3" a="1"/>
  <c r="F394" i="3" s="1"/>
  <c r="F395" i="3" a="1"/>
  <c r="F395" i="3" s="1"/>
  <c r="F396" i="3" a="1"/>
  <c r="F396" i="3" s="1"/>
  <c r="F397" i="3" a="1"/>
  <c r="F397" i="3"/>
  <c r="F398" i="3" a="1"/>
  <c r="F398" i="3" s="1"/>
  <c r="F399" i="3" a="1"/>
  <c r="F399" i="3"/>
  <c r="F400" i="3" a="1"/>
  <c r="F400" i="3" s="1"/>
  <c r="F401" i="3" a="1"/>
  <c r="F401" i="3"/>
  <c r="F402" i="3" a="1"/>
  <c r="F402" i="3"/>
  <c r="F403" i="3" a="1"/>
  <c r="F403" i="3" s="1"/>
  <c r="F404" i="3" a="1"/>
  <c r="F404" i="3"/>
  <c r="F405" i="3" a="1"/>
  <c r="F405" i="3"/>
  <c r="F406" i="3" a="1"/>
  <c r="F406" i="3" s="1"/>
  <c r="F407" i="3" a="1"/>
  <c r="F407" i="3" s="1"/>
  <c r="F408" i="3" a="1"/>
  <c r="F408" i="3" s="1"/>
  <c r="F409" i="3" a="1"/>
  <c r="F409" i="3"/>
  <c r="F410" i="3" a="1"/>
  <c r="F410" i="3" s="1"/>
  <c r="F411" i="3" a="1"/>
  <c r="F411" i="3" s="1"/>
  <c r="F412" i="3" a="1"/>
  <c r="F412" i="3" s="1"/>
  <c r="F413" i="3" a="1"/>
  <c r="F413" i="3" s="1"/>
  <c r="F414" i="3" a="1"/>
  <c r="F414" i="3"/>
  <c r="F415" i="3" a="1"/>
  <c r="F415" i="3"/>
  <c r="F416" i="3" a="1"/>
  <c r="F416" i="3" s="1"/>
  <c r="F417" i="3" a="1"/>
  <c r="F417" i="3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/>
  <c r="F428" i="3" a="1"/>
  <c r="F428" i="3" s="1"/>
  <c r="F429" i="3" a="1"/>
  <c r="F429" i="3"/>
  <c r="F430" i="3" a="1"/>
  <c r="F430" i="3" s="1"/>
  <c r="F431" i="3" a="1"/>
  <c r="F431" i="3"/>
  <c r="F432" i="3" a="1"/>
  <c r="F432" i="3"/>
  <c r="F433" i="3" a="1"/>
  <c r="F433" i="3" s="1"/>
  <c r="F434" i="3" a="1"/>
  <c r="F434" i="3" s="1"/>
  <c r="F435" i="3" a="1"/>
  <c r="F435" i="3"/>
  <c r="F436" i="3" a="1"/>
  <c r="F436" i="3" s="1"/>
  <c r="F437" i="3" a="1"/>
  <c r="F437" i="3" s="1"/>
  <c r="F438" i="3" a="1"/>
  <c r="F438" i="3" s="1"/>
  <c r="F439" i="3" a="1"/>
  <c r="F439" i="3"/>
  <c r="F440" i="3" a="1"/>
  <c r="F440" i="3" s="1"/>
  <c r="F441" i="3" a="1"/>
  <c r="F441" i="3" s="1"/>
  <c r="F442" i="3" a="1"/>
  <c r="F442" i="3" s="1"/>
  <c r="F443" i="3" a="1"/>
  <c r="F443" i="3" s="1"/>
  <c r="F444" i="3" a="1"/>
  <c r="F444" i="3"/>
  <c r="F445" i="3" a="1"/>
  <c r="F445" i="3"/>
  <c r="F446" i="3" a="1"/>
  <c r="F446" i="3" s="1"/>
  <c r="F447" i="3" a="1"/>
  <c r="F447" i="3"/>
  <c r="F448" i="3" a="1"/>
  <c r="F448" i="3" s="1"/>
  <c r="F449" i="3" a="1"/>
  <c r="F449" i="3" s="1"/>
  <c r="F450" i="3" a="1"/>
  <c r="F450" i="3" s="1"/>
  <c r="F451" i="3" a="1"/>
  <c r="F451" i="3"/>
  <c r="F452" i="3" a="1"/>
  <c r="F452" i="3" s="1"/>
  <c r="F453" i="3" a="1"/>
  <c r="F453" i="3" s="1"/>
  <c r="F454" i="3" a="1"/>
  <c r="F454" i="3" s="1"/>
  <c r="F455" i="3" a="1"/>
  <c r="F455" i="3"/>
  <c r="F456" i="3" a="1"/>
  <c r="F456" i="3" s="1"/>
  <c r="F457" i="3" a="1"/>
  <c r="F457" i="3"/>
  <c r="F458" i="3" a="1"/>
  <c r="F458" i="3" s="1"/>
  <c r="F459" i="3" a="1"/>
  <c r="F459" i="3"/>
  <c r="F460" i="3" a="1"/>
  <c r="F460" i="3"/>
  <c r="F461" i="3" a="1"/>
  <c r="F461" i="3"/>
  <c r="F462" i="3" a="1"/>
  <c r="F462" i="3" s="1"/>
  <c r="F463" i="3" a="1"/>
  <c r="F463" i="3" s="1"/>
  <c r="F464" i="3" a="1"/>
  <c r="F464" i="3"/>
  <c r="F465" i="3" a="1"/>
  <c r="F465" i="3"/>
  <c r="F466" i="3" a="1"/>
  <c r="F466" i="3" s="1"/>
  <c r="F467" i="3" a="1"/>
  <c r="F467" i="3"/>
  <c r="F468" i="3" a="1"/>
  <c r="F468" i="3" s="1"/>
  <c r="F469" i="3" a="1"/>
  <c r="F469" i="3"/>
  <c r="F470" i="3" a="1"/>
  <c r="F470" i="3" s="1"/>
  <c r="F471" i="3" a="1"/>
  <c r="F471" i="3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/>
  <c r="F478" i="3" a="1"/>
  <c r="F478" i="3" s="1"/>
  <c r="F479" i="3" a="1"/>
  <c r="F479" i="3"/>
  <c r="F480" i="3" a="1"/>
  <c r="F480" i="3" s="1"/>
  <c r="F481" i="3" a="1"/>
  <c r="F481" i="3" s="1"/>
  <c r="F482" i="3" a="1"/>
  <c r="F482" i="3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/>
  <c r="F490" i="3" a="1"/>
  <c r="F490" i="3" s="1"/>
  <c r="F491" i="3" a="1"/>
  <c r="F491" i="3"/>
  <c r="F492" i="3" a="1"/>
  <c r="F492" i="3"/>
  <c r="F493" i="3" a="1"/>
  <c r="F493" i="3" s="1"/>
  <c r="F494" i="3" a="1"/>
  <c r="F494" i="3" s="1"/>
  <c r="F495" i="3" a="1"/>
  <c r="F495" i="3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/>
  <c r="F505" i="3" a="1"/>
  <c r="F505" i="3" s="1"/>
  <c r="F506" i="3" a="1"/>
  <c r="F506" i="3" s="1"/>
  <c r="F507" i="3" a="1"/>
  <c r="F507" i="3"/>
  <c r="F508" i="3" a="1"/>
  <c r="F508" i="3" s="1"/>
  <c r="F509" i="3" a="1"/>
  <c r="F509" i="3" s="1"/>
  <c r="F510" i="3" a="1"/>
  <c r="F510" i="3" s="1"/>
  <c r="F511" i="3" a="1"/>
  <c r="F511" i="3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/>
  <c r="F520" i="3" a="1"/>
  <c r="F520" i="3"/>
  <c r="F521" i="3" a="1"/>
  <c r="F521" i="3"/>
  <c r="F522" i="3" a="1"/>
  <c r="F522" i="3" s="1"/>
  <c r="F523" i="3" a="1"/>
  <c r="F523" i="3" s="1"/>
  <c r="F524" i="3" a="1"/>
  <c r="F524" i="3" s="1"/>
  <c r="F525" i="3" a="1"/>
  <c r="F525" i="3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/>
  <c r="F538" i="3" a="1"/>
  <c r="F538" i="3" s="1"/>
  <c r="F539" i="3" a="1"/>
  <c r="F539" i="3" s="1"/>
  <c r="F540" i="3" a="1"/>
  <c r="F540" i="3" s="1"/>
  <c r="F541" i="3" a="1"/>
  <c r="F541" i="3" s="1"/>
  <c r="F542" i="3" a="1"/>
  <c r="F542" i="3"/>
  <c r="F543" i="3" a="1"/>
  <c r="F543" i="3" s="1"/>
  <c r="F544" i="3" a="1"/>
  <c r="F544" i="3" s="1"/>
  <c r="F545" i="3" a="1"/>
  <c r="F545" i="3"/>
  <c r="F546" i="3" a="1"/>
  <c r="F546" i="3" s="1"/>
  <c r="F547" i="3" a="1"/>
  <c r="F547" i="3" s="1"/>
  <c r="F548" i="3" a="1"/>
  <c r="F548" i="3" s="1"/>
  <c r="F549" i="3" a="1"/>
  <c r="F549" i="3"/>
  <c r="F550" i="3" a="1"/>
  <c r="F550" i="3"/>
  <c r="F551" i="3" a="1"/>
  <c r="F551" i="3"/>
  <c r="F552" i="3" a="1"/>
  <c r="F552" i="3" s="1"/>
  <c r="F553" i="3" a="1"/>
  <c r="F553" i="3" s="1"/>
  <c r="F554" i="3" a="1"/>
  <c r="F554" i="3"/>
  <c r="F555" i="3" a="1"/>
  <c r="F555" i="3"/>
  <c r="F556" i="3" a="1"/>
  <c r="F556" i="3" s="1"/>
  <c r="F557" i="3" a="1"/>
  <c r="F557" i="3"/>
  <c r="F558" i="3" a="1"/>
  <c r="F558" i="3" s="1"/>
  <c r="F559" i="3" a="1"/>
  <c r="F559" i="3" s="1"/>
  <c r="F560" i="3" a="1"/>
  <c r="F560" i="3" s="1"/>
  <c r="F561" i="3" a="1"/>
  <c r="F561" i="3"/>
  <c r="F562" i="3" a="1"/>
  <c r="F562" i="3" s="1"/>
  <c r="F563" i="3" a="1"/>
  <c r="F563" i="3" s="1"/>
  <c r="F564" i="3" a="1"/>
  <c r="F564" i="3" s="1"/>
  <c r="F565" i="3" a="1"/>
  <c r="F565" i="3"/>
  <c r="F566" i="3" a="1"/>
  <c r="F566" i="3" s="1"/>
  <c r="F567" i="3" a="1"/>
  <c r="F567" i="3"/>
  <c r="F568" i="3" a="1"/>
  <c r="F568" i="3" s="1"/>
  <c r="F569" i="3" a="1"/>
  <c r="F569" i="3"/>
  <c r="F570" i="3" a="1"/>
  <c r="F570" i="3"/>
  <c r="F571" i="3" a="1"/>
  <c r="F571" i="3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/>
  <c r="F578" i="3" a="1"/>
  <c r="F578" i="3" s="1"/>
  <c r="F579" i="3" a="1"/>
  <c r="F579" i="3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/>
  <c r="F586" i="3" a="1"/>
  <c r="F586" i="3" s="1"/>
  <c r="F587" i="3" a="1"/>
  <c r="F587" i="3" s="1"/>
  <c r="F588" i="3" a="1"/>
  <c r="F588" i="3" s="1"/>
  <c r="F589" i="3" a="1"/>
  <c r="F589" i="3"/>
  <c r="F590" i="3" a="1"/>
  <c r="F590" i="3" s="1"/>
  <c r="F591" i="3" a="1"/>
  <c r="F591" i="3"/>
  <c r="F592" i="3" a="1"/>
  <c r="F592" i="3"/>
  <c r="F593" i="3" a="1"/>
  <c r="F593" i="3" s="1"/>
  <c r="F594" i="3" a="1"/>
  <c r="F594" i="3" s="1"/>
  <c r="F595" i="3" a="1"/>
  <c r="F595" i="3" s="1"/>
  <c r="F596" i="3" a="1"/>
  <c r="F596" i="3" s="1"/>
  <c r="F597" i="3" a="1"/>
  <c r="F597" i="3"/>
  <c r="F598" i="3" a="1"/>
  <c r="F598" i="3" s="1"/>
  <c r="F599" i="3" a="1"/>
  <c r="F599" i="3" s="1"/>
  <c r="F600" i="3" a="1"/>
  <c r="F600" i="3" s="1"/>
  <c r="F601" i="3" a="1"/>
  <c r="F601" i="3"/>
  <c r="F602" i="3" a="1"/>
  <c r="F602" i="3" s="1"/>
  <c r="F603" i="3" a="1"/>
  <c r="F603" i="3" s="1"/>
  <c r="F604" i="3" a="1"/>
  <c r="F604" i="3" s="1"/>
  <c r="F605" i="3" a="1"/>
  <c r="F605" i="3"/>
  <c r="F606" i="3" a="1"/>
  <c r="F606" i="3" s="1"/>
  <c r="F607" i="3" a="1"/>
  <c r="F607" i="3" s="1"/>
  <c r="F608" i="3" a="1"/>
  <c r="F608" i="3" s="1"/>
  <c r="F609" i="3" a="1"/>
  <c r="F609" i="3"/>
  <c r="F610" i="3" a="1"/>
  <c r="F610" i="3"/>
  <c r="F611" i="3" a="1"/>
  <c r="F611" i="3"/>
  <c r="F612" i="3" a="1"/>
  <c r="F612" i="3" s="1"/>
  <c r="F613" i="3" a="1"/>
  <c r="F613" i="3" s="1"/>
  <c r="F614" i="3" a="1"/>
  <c r="F614" i="3"/>
  <c r="F615" i="3" a="1"/>
  <c r="F615" i="3" s="1"/>
  <c r="F616" i="3" a="1"/>
  <c r="F616" i="3" s="1"/>
  <c r="F617" i="3" a="1"/>
  <c r="F617" i="3"/>
  <c r="F618" i="3" a="1"/>
  <c r="F618" i="3" s="1"/>
  <c r="F619" i="3" a="1"/>
  <c r="F619" i="3" s="1"/>
  <c r="F620" i="3" a="1"/>
  <c r="F620" i="3" s="1"/>
  <c r="F621" i="3" a="1"/>
  <c r="F621" i="3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/>
  <c r="F630" i="3" a="1"/>
  <c r="F630" i="3" s="1"/>
  <c r="F631" i="3" a="1"/>
  <c r="F631" i="3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/>
  <c r="F652" i="3" a="1"/>
  <c r="F652" i="3"/>
  <c r="F653" i="3" a="1"/>
  <c r="F653" i="3" s="1"/>
  <c r="F654" i="3" a="1"/>
  <c r="F654" i="3" s="1"/>
  <c r="F655" i="3" a="1"/>
  <c r="F655" i="3"/>
  <c r="F656" i="3" a="1"/>
  <c r="F656" i="3" s="1"/>
  <c r="F657" i="3" a="1"/>
  <c r="F657" i="3"/>
  <c r="F658" i="3" a="1"/>
  <c r="F658" i="3" s="1"/>
  <c r="F659" i="3" a="1"/>
  <c r="F659" i="3" s="1"/>
  <c r="F660" i="3" a="1"/>
  <c r="F660" i="3"/>
  <c r="F661" i="3" a="1"/>
  <c r="F661" i="3"/>
  <c r="F662" i="3" a="1"/>
  <c r="F662" i="3" s="1"/>
  <c r="F663" i="3" a="1"/>
  <c r="F663" i="3" s="1"/>
  <c r="F664" i="3" a="1"/>
  <c r="F664" i="3"/>
  <c r="F665" i="3" a="1"/>
  <c r="F665" i="3"/>
  <c r="F666" i="3" a="1"/>
  <c r="F666" i="3" s="1"/>
  <c r="F667" i="3" a="1"/>
  <c r="F667" i="3"/>
  <c r="F668" i="3" a="1"/>
  <c r="F668" i="3" s="1"/>
  <c r="F669" i="3" a="1"/>
  <c r="F669" i="3"/>
  <c r="F670" i="3" a="1"/>
  <c r="F670" i="3" s="1"/>
  <c r="F671" i="3" a="1"/>
  <c r="F671" i="3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/>
  <c r="F678" i="3" a="1"/>
  <c r="F678" i="3" s="1"/>
  <c r="F679" i="3" a="1"/>
  <c r="F679" i="3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/>
  <c r="F686" i="3" a="1"/>
  <c r="F686" i="3" s="1"/>
  <c r="F687" i="3" a="1"/>
  <c r="F687" i="3" s="1"/>
  <c r="F688" i="3" a="1"/>
  <c r="F688" i="3" s="1"/>
  <c r="F689" i="3" a="1"/>
  <c r="F689" i="3"/>
  <c r="F690" i="3" a="1"/>
  <c r="F690" i="3" s="1"/>
  <c r="F691" i="3" a="1"/>
  <c r="F691" i="3"/>
  <c r="F692" i="3" a="1"/>
  <c r="F692" i="3" s="1"/>
  <c r="F693" i="3" a="1"/>
  <c r="F693" i="3" s="1"/>
  <c r="F694" i="3" a="1"/>
  <c r="F694" i="3" s="1"/>
  <c r="F695" i="3" a="1"/>
  <c r="F695" i="3"/>
  <c r="F696" i="3" a="1"/>
  <c r="F696" i="3" s="1"/>
  <c r="F697" i="3" a="1"/>
  <c r="F697" i="3"/>
  <c r="F698" i="3" a="1"/>
  <c r="F698" i="3" s="1"/>
  <c r="F699" i="3" a="1"/>
  <c r="F699" i="3" s="1"/>
  <c r="F700" i="3" a="1"/>
  <c r="F700" i="3" s="1"/>
  <c r="F701" i="3" a="1"/>
  <c r="F701" i="3"/>
  <c r="F702" i="3" a="1"/>
  <c r="F702" i="3"/>
  <c r="F703" i="3" a="1"/>
  <c r="F703" i="3" s="1"/>
  <c r="F704" i="3" a="1"/>
  <c r="F704" i="3"/>
  <c r="F705" i="3" a="1"/>
  <c r="F705" i="3"/>
  <c r="F706" i="3" a="1"/>
  <c r="F706" i="3" s="1"/>
  <c r="F707" i="3" a="1"/>
  <c r="F707" i="3"/>
  <c r="F708" i="3" a="1"/>
  <c r="F708" i="3" s="1"/>
  <c r="F709" i="3" a="1"/>
  <c r="F709" i="3"/>
  <c r="F710" i="3" a="1"/>
  <c r="F710" i="3"/>
  <c r="F711" i="3" a="1"/>
  <c r="F711" i="3"/>
  <c r="F712" i="3" a="1"/>
  <c r="F712" i="3" s="1"/>
  <c r="F713" i="3" a="1"/>
  <c r="F713" i="3" s="1"/>
  <c r="F714" i="3" a="1"/>
  <c r="F714" i="3" s="1"/>
  <c r="F715" i="3" a="1"/>
  <c r="F715" i="3"/>
  <c r="F716" i="3" a="1"/>
  <c r="F716" i="3" s="1"/>
  <c r="F717" i="3" a="1"/>
  <c r="F717" i="3"/>
  <c r="F718" i="3" a="1"/>
  <c r="F718" i="3" s="1"/>
  <c r="F719" i="3" a="1"/>
  <c r="F719" i="3"/>
  <c r="F720" i="3" a="1"/>
  <c r="F720" i="3"/>
  <c r="F721" i="3" a="1"/>
  <c r="F721" i="3"/>
  <c r="F722" i="3" a="1"/>
  <c r="F722" i="3" s="1"/>
  <c r="F723" i="3" a="1"/>
  <c r="F723" i="3" s="1"/>
  <c r="F724" i="3" a="1"/>
  <c r="F724" i="3" s="1"/>
  <c r="F725" i="3" a="1"/>
  <c r="F725" i="3"/>
  <c r="F726" i="3" a="1"/>
  <c r="F726" i="3" s="1"/>
  <c r="F727" i="3" a="1"/>
  <c r="F727" i="3"/>
  <c r="F728" i="3" a="1"/>
  <c r="F728" i="3" s="1"/>
  <c r="F729" i="3" a="1"/>
  <c r="F729" i="3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/>
  <c r="F738" i="3" a="1"/>
  <c r="F738" i="3" s="1"/>
  <c r="F739" i="3" a="1"/>
  <c r="F739" i="3"/>
  <c r="F740" i="3" a="1"/>
  <c r="F740" i="3" s="1"/>
  <c r="F741" i="3" a="1"/>
  <c r="F741" i="3" s="1"/>
  <c r="F742" i="3" a="1"/>
  <c r="F742" i="3"/>
  <c r="F743" i="3" a="1"/>
  <c r="F743" i="3" s="1"/>
  <c r="F744" i="3" a="1"/>
  <c r="F744" i="3"/>
  <c r="F745" i="3" a="1"/>
  <c r="F745" i="3"/>
  <c r="F746" i="3" a="1"/>
  <c r="F746" i="3" s="1"/>
  <c r="F747" i="3" a="1"/>
  <c r="F747" i="3" s="1"/>
  <c r="F748" i="3" a="1"/>
  <c r="F748" i="3" s="1"/>
  <c r="F749" i="3" a="1"/>
  <c r="F749" i="3"/>
  <c r="F750" i="3" a="1"/>
  <c r="F750" i="3"/>
  <c r="F751" i="3" a="1"/>
  <c r="F751" i="3"/>
  <c r="F752" i="3" a="1"/>
  <c r="F752" i="3"/>
  <c r="F753" i="3" a="1"/>
  <c r="F753" i="3" s="1"/>
  <c r="F754" i="3" a="1"/>
  <c r="F754" i="3"/>
  <c r="F755" i="3" a="1"/>
  <c r="F755" i="3"/>
  <c r="F756" i="3" a="1"/>
  <c r="F756" i="3" s="1"/>
  <c r="F757" i="3" a="1"/>
  <c r="F757" i="3"/>
  <c r="F758" i="3" a="1"/>
  <c r="F758" i="3" s="1"/>
  <c r="F759" i="3" a="1"/>
  <c r="F759" i="3" s="1"/>
  <c r="F760" i="3" a="1"/>
  <c r="F760" i="3" s="1"/>
  <c r="F761" i="3" a="1"/>
  <c r="F761" i="3"/>
  <c r="F762" i="3" a="1"/>
  <c r="F762" i="3"/>
  <c r="F763" i="3" a="1"/>
  <c r="F763" i="3" s="1"/>
  <c r="F764" i="3" a="1"/>
  <c r="F764" i="3" s="1"/>
  <c r="F765" i="3" a="1"/>
  <c r="F765" i="3" s="1"/>
  <c r="F766" i="3" a="1"/>
  <c r="F766" i="3" s="1"/>
  <c r="F767" i="3" a="1"/>
  <c r="F767" i="3"/>
  <c r="F768" i="3" a="1"/>
  <c r="F768" i="3" s="1"/>
  <c r="F769" i="3" a="1"/>
  <c r="F769" i="3"/>
  <c r="F770" i="3" a="1"/>
  <c r="F770" i="3" s="1"/>
  <c r="F771" i="3" a="1"/>
  <c r="F771" i="3"/>
  <c r="F772" i="3" a="1"/>
  <c r="F772" i="3" s="1"/>
  <c r="F773" i="3" a="1"/>
  <c r="F773" i="3" s="1"/>
  <c r="F774" i="3" a="1"/>
  <c r="F774" i="3" s="1"/>
  <c r="F775" i="3" a="1"/>
  <c r="F775" i="3" s="1"/>
  <c r="F776" i="3" a="1"/>
  <c r="F776" i="3" s="1"/>
  <c r="F777" i="3" a="1"/>
  <c r="F777" i="3" s="1"/>
  <c r="F778" i="3" a="1"/>
  <c r="F778" i="3" s="1"/>
  <c r="F779" i="3" a="1"/>
  <c r="F779" i="3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/>
  <c r="F786" i="3" a="1"/>
  <c r="F786" i="3" s="1"/>
  <c r="F787" i="3" a="1"/>
  <c r="F787" i="3" s="1"/>
  <c r="F788" i="3" a="1"/>
  <c r="F788" i="3" s="1"/>
  <c r="F789" i="3" a="1"/>
  <c r="F789" i="3" s="1"/>
  <c r="F790" i="3" a="1"/>
  <c r="F790" i="3" s="1"/>
  <c r="F791" i="3" a="1"/>
  <c r="F791" i="3"/>
  <c r="F792" i="3" a="1"/>
  <c r="F792" i="3"/>
  <c r="F793" i="3" a="1"/>
  <c r="F793" i="3" s="1"/>
  <c r="F794" i="3" a="1"/>
  <c r="F794" i="3" s="1"/>
  <c r="F795" i="3" a="1"/>
  <c r="F795" i="3" s="1"/>
  <c r="F796" i="3" a="1"/>
  <c r="F796" i="3" s="1"/>
  <c r="F797" i="3" a="1"/>
  <c r="F797" i="3"/>
  <c r="F798" i="3" a="1"/>
  <c r="F798" i="3" s="1"/>
  <c r="F799" i="3" a="1"/>
  <c r="F799" i="3" s="1"/>
  <c r="F800" i="3" a="1"/>
  <c r="F800" i="3" s="1"/>
  <c r="F801" i="3" a="1"/>
  <c r="F801" i="3"/>
  <c r="F802" i="3" a="1"/>
  <c r="F802" i="3"/>
  <c r="F803" i="3" a="1"/>
  <c r="F803" i="3" s="1"/>
  <c r="F804" i="3" a="1"/>
  <c r="F804" i="3" s="1"/>
  <c r="F805" i="3" a="1"/>
  <c r="F805" i="3"/>
  <c r="F806" i="3" a="1"/>
  <c r="F806" i="3" s="1"/>
  <c r="F807" i="3" a="1"/>
  <c r="F807" i="3" s="1"/>
  <c r="F808" i="3" a="1"/>
  <c r="F808" i="3" s="1"/>
  <c r="F809" i="3" a="1"/>
  <c r="F809" i="3"/>
  <c r="F810" i="3" a="1"/>
  <c r="F810" i="3"/>
  <c r="F811" i="3" a="1"/>
  <c r="F811" i="3"/>
  <c r="F812" i="3" a="1"/>
  <c r="F812" i="3" s="1"/>
  <c r="F813" i="3" a="1"/>
  <c r="F813" i="3" s="1"/>
  <c r="F814" i="3" a="1"/>
  <c r="F814" i="3"/>
  <c r="F815" i="3" a="1"/>
  <c r="F815" i="3"/>
  <c r="F816" i="3" a="1"/>
  <c r="F816" i="3" s="1"/>
  <c r="F817" i="3" a="1"/>
  <c r="F817" i="3"/>
  <c r="F818" i="3" a="1"/>
  <c r="F818" i="3" s="1"/>
  <c r="F819" i="3" a="1"/>
  <c r="F819" i="3" s="1"/>
  <c r="F820" i="3" a="1"/>
  <c r="F820" i="3" s="1"/>
  <c r="F821" i="3" a="1"/>
  <c r="F821" i="3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/>
  <c r="F828" i="3" a="1"/>
  <c r="F828" i="3" s="1"/>
  <c r="F829" i="3" a="1"/>
  <c r="F829" i="3"/>
  <c r="F830" i="3" a="1"/>
  <c r="F830" i="3" s="1"/>
  <c r="F831" i="3" a="1"/>
  <c r="F831" i="3"/>
  <c r="F832" i="3" a="1"/>
  <c r="F832" i="3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 s="1"/>
  <c r="F839" i="3" a="1"/>
  <c r="F839" i="3"/>
  <c r="F840" i="3" a="1"/>
  <c r="F840" i="3" s="1"/>
  <c r="F841" i="3" a="1"/>
  <c r="F841" i="3" s="1"/>
  <c r="F842" i="3" a="1"/>
  <c r="F842" i="3" s="1"/>
  <c r="F843" i="3" a="1"/>
  <c r="F843" i="3" s="1"/>
  <c r="F844" i="3" a="1"/>
  <c r="F844" i="3"/>
  <c r="F845" i="3" a="1"/>
  <c r="F845" i="3"/>
  <c r="F846" i="3" a="1"/>
  <c r="F846" i="3" s="1"/>
  <c r="F847" i="3" a="1"/>
  <c r="F847" i="3" s="1"/>
  <c r="F848" i="3" a="1"/>
  <c r="F848" i="3" s="1"/>
  <c r="F849" i="3" a="1"/>
  <c r="F849" i="3" s="1"/>
  <c r="F850" i="3" a="1"/>
  <c r="F850" i="3"/>
  <c r="F851" i="3" a="1"/>
  <c r="F851" i="3"/>
  <c r="F852" i="3" a="1"/>
  <c r="F852" i="3"/>
  <c r="F853" i="3" a="1"/>
  <c r="F853" i="3" s="1"/>
  <c r="F854" i="3" a="1"/>
  <c r="F854" i="3"/>
  <c r="F855" i="3" a="1"/>
  <c r="F855" i="3"/>
  <c r="F856" i="3" a="1"/>
  <c r="F856" i="3"/>
  <c r="F857" i="3" a="1"/>
  <c r="F857" i="3"/>
  <c r="F858" i="3" a="1"/>
  <c r="F858" i="3" s="1"/>
  <c r="F859" i="3" a="1"/>
  <c r="F859" i="3" s="1"/>
  <c r="F860" i="3" a="1"/>
  <c r="F860" i="3"/>
  <c r="F861" i="3" a="1"/>
  <c r="F861" i="3"/>
  <c r="F862" i="3" a="1"/>
  <c r="F862" i="3" s="1"/>
  <c r="F863" i="3" a="1"/>
  <c r="F863" i="3" s="1"/>
  <c r="F864" i="3" a="1"/>
  <c r="F864" i="3" s="1"/>
  <c r="F865" i="3" a="1"/>
  <c r="F865" i="3"/>
  <c r="F866" i="3" a="1"/>
  <c r="F866" i="3" s="1"/>
  <c r="F867" i="3" a="1"/>
  <c r="F867" i="3"/>
  <c r="F868" i="3" a="1"/>
  <c r="F868" i="3"/>
  <c r="F869" i="3" a="1"/>
  <c r="F869" i="3" s="1"/>
  <c r="F870" i="3" a="1"/>
  <c r="F870" i="3" s="1"/>
  <c r="F871" i="3" a="1"/>
  <c r="F871" i="3"/>
  <c r="F872" i="3" a="1"/>
  <c r="F872" i="3"/>
  <c r="F873" i="3" a="1"/>
  <c r="F873" i="3" s="1"/>
  <c r="F874" i="3" a="1"/>
  <c r="F874" i="3" s="1"/>
  <c r="F875" i="3" a="1"/>
  <c r="F875" i="3"/>
  <c r="F876" i="3" a="1"/>
  <c r="F876" i="3"/>
  <c r="F877" i="3" a="1"/>
  <c r="F877" i="3"/>
  <c r="F878" i="3" a="1"/>
  <c r="F878" i="3" s="1"/>
  <c r="F879" i="3" a="1"/>
  <c r="F879" i="3" s="1"/>
  <c r="F880" i="3" a="1"/>
  <c r="F880" i="3"/>
  <c r="F881" i="3" a="1"/>
  <c r="F881" i="3"/>
  <c r="F882" i="3" a="1"/>
  <c r="F882" i="3" s="1"/>
  <c r="F883" i="3" a="1"/>
  <c r="F883" i="3" s="1"/>
  <c r="F884" i="3" a="1"/>
  <c r="F884" i="3" s="1"/>
  <c r="F885" i="3" a="1"/>
  <c r="F885" i="3"/>
  <c r="F886" i="3" a="1"/>
  <c r="F886" i="3" s="1"/>
  <c r="F887" i="3" a="1"/>
  <c r="F887" i="3"/>
  <c r="F888" i="3" a="1"/>
  <c r="F888" i="3"/>
  <c r="F889" i="3" a="1"/>
  <c r="F889" i="3" s="1"/>
  <c r="F890" i="3" a="1"/>
  <c r="F890" i="3" s="1"/>
  <c r="F891" i="3" a="1"/>
  <c r="F891" i="3"/>
  <c r="F892" i="3" a="1"/>
  <c r="F892" i="3"/>
  <c r="F893" i="3" a="1"/>
  <c r="F893" i="3" s="1"/>
  <c r="F894" i="3" a="1"/>
  <c r="F894" i="3" s="1"/>
  <c r="F895" i="3" a="1"/>
  <c r="F895" i="3"/>
  <c r="F896" i="3" a="1"/>
  <c r="F896" i="3" s="1"/>
  <c r="F897" i="3" a="1"/>
  <c r="F897" i="3"/>
  <c r="F898" i="3" a="1"/>
  <c r="F898" i="3" s="1"/>
  <c r="F899" i="3" a="1"/>
  <c r="F899" i="3" s="1"/>
  <c r="F900" i="3" a="1"/>
  <c r="F900" i="3" s="1"/>
  <c r="F901" i="3" a="1"/>
  <c r="F901" i="3"/>
  <c r="F902" i="3" a="1"/>
  <c r="F902" i="3"/>
  <c r="F903" i="3" a="1"/>
  <c r="F903" i="3" s="1"/>
  <c r="F904" i="3" a="1"/>
  <c r="F904" i="3" s="1"/>
  <c r="F905" i="3" a="1"/>
  <c r="F905" i="3"/>
  <c r="F906" i="3" a="1"/>
  <c r="F906" i="3"/>
  <c r="F907" i="3" a="1"/>
  <c r="F907" i="3"/>
  <c r="F908" i="3" a="1"/>
  <c r="F908" i="3" s="1"/>
  <c r="F909" i="3" a="1"/>
  <c r="F909" i="3" s="1"/>
  <c r="F910" i="3" a="1"/>
  <c r="F910" i="3" s="1"/>
  <c r="F911" i="3" a="1"/>
  <c r="F911" i="3"/>
  <c r="F912" i="3" a="1"/>
  <c r="F912" i="3"/>
  <c r="F913" i="3" a="1"/>
  <c r="F913" i="3" s="1"/>
  <c r="F914" i="3" a="1"/>
  <c r="F914" i="3" s="1"/>
  <c r="F915" i="3" a="1"/>
  <c r="F915" i="3"/>
  <c r="F916" i="3" a="1"/>
  <c r="F916" i="3"/>
  <c r="F917" i="3" a="1"/>
  <c r="F917" i="3"/>
  <c r="F918" i="3" a="1"/>
  <c r="F918" i="3"/>
  <c r="F919" i="3" a="1"/>
  <c r="F919" i="3" s="1"/>
  <c r="F920" i="3" a="1"/>
  <c r="F920" i="3" s="1"/>
  <c r="F921" i="3" a="1"/>
  <c r="F921" i="3"/>
  <c r="F922" i="3" a="1"/>
  <c r="F922" i="3" s="1"/>
  <c r="F923" i="3" a="1"/>
  <c r="F923" i="3" s="1"/>
  <c r="F924" i="3" a="1"/>
  <c r="F924" i="3" s="1"/>
  <c r="F925" i="3" a="1"/>
  <c r="F925" i="3"/>
  <c r="F926" i="3" a="1"/>
  <c r="F926" i="3"/>
  <c r="F927" i="3" a="1"/>
  <c r="F927" i="3"/>
  <c r="F928" i="3" a="1"/>
  <c r="F928" i="3" s="1"/>
  <c r="F929" i="3" a="1"/>
  <c r="F929" i="3" s="1"/>
  <c r="F930" i="3" a="1"/>
  <c r="F930" i="3" s="1"/>
  <c r="F931" i="3" a="1"/>
  <c r="F931" i="3"/>
  <c r="F932" i="3" a="1"/>
  <c r="F932" i="3"/>
  <c r="F933" i="3" a="1"/>
  <c r="F933" i="3" s="1"/>
  <c r="F934" i="3" a="1"/>
  <c r="F934" i="3" s="1"/>
  <c r="F935" i="3" a="1"/>
  <c r="F935" i="3"/>
  <c r="F936" i="3" a="1"/>
  <c r="F936" i="3"/>
  <c r="F937" i="3" a="1"/>
  <c r="F937" i="3"/>
  <c r="F938" i="3" a="1"/>
  <c r="F938" i="3" s="1"/>
  <c r="F939" i="3" a="1"/>
  <c r="F939" i="3" s="1"/>
  <c r="F940" i="3" a="1"/>
  <c r="F940" i="3" s="1"/>
  <c r="F941" i="3" a="1"/>
  <c r="F941" i="3"/>
  <c r="F942" i="3" a="1"/>
  <c r="F942" i="3" s="1"/>
  <c r="F943" i="3" a="1"/>
  <c r="F943" i="3" s="1"/>
  <c r="F944" i="3" a="1"/>
  <c r="F944" i="3" s="1"/>
  <c r="F945" i="3" a="1"/>
  <c r="F945" i="3"/>
  <c r="F946" i="3" a="1"/>
  <c r="F946" i="3"/>
  <c r="F947" i="3" a="1"/>
  <c r="F947" i="3"/>
  <c r="F948" i="3" a="1"/>
  <c r="F948" i="3" s="1"/>
  <c r="F949" i="3" a="1"/>
  <c r="F949" i="3" s="1"/>
  <c r="F950" i="3" a="1"/>
  <c r="F950" i="3" s="1"/>
  <c r="F951" i="3" a="1"/>
  <c r="F951" i="3"/>
  <c r="F952" i="3" a="1"/>
  <c r="F952" i="3" s="1"/>
  <c r="F953" i="3" a="1"/>
  <c r="F953" i="3" s="1"/>
  <c r="F954" i="3" a="1"/>
  <c r="F954" i="3" s="1"/>
  <c r="F955" i="3" a="1"/>
  <c r="F955" i="3"/>
  <c r="F956" i="3" a="1"/>
  <c r="F956" i="3"/>
  <c r="F957" i="3" a="1"/>
  <c r="F957" i="3"/>
  <c r="F958" i="3" a="1"/>
  <c r="F958" i="3" s="1"/>
  <c r="F959" i="3" a="1"/>
  <c r="F959" i="3" s="1"/>
  <c r="F960" i="3" a="1"/>
  <c r="F960" i="3" s="1"/>
  <c r="F961" i="3" a="1"/>
  <c r="F961" i="3"/>
  <c r="F962" i="3" a="1"/>
  <c r="F962" i="3" s="1"/>
  <c r="F963" i="3" a="1"/>
  <c r="F963" i="3" s="1"/>
  <c r="F964" i="3" a="1"/>
  <c r="F964" i="3" s="1"/>
  <c r="F965" i="3" a="1"/>
  <c r="F965" i="3"/>
  <c r="F966" i="3" a="1"/>
  <c r="F966" i="3" s="1"/>
  <c r="F967" i="3" a="1"/>
  <c r="F967" i="3"/>
  <c r="F968" i="3" a="1"/>
  <c r="F968" i="3" s="1"/>
  <c r="F969" i="3" a="1"/>
  <c r="F969" i="3" s="1"/>
  <c r="F970" i="3" a="1"/>
  <c r="F970" i="3" s="1"/>
  <c r="F971" i="3" a="1"/>
  <c r="F971" i="3"/>
  <c r="F972" i="3" a="1"/>
  <c r="F972" i="3" s="1"/>
  <c r="F973" i="3" a="1"/>
  <c r="F973" i="3" s="1"/>
  <c r="F974" i="3" a="1"/>
  <c r="F974" i="3" s="1"/>
  <c r="F975" i="3" a="1"/>
  <c r="F975" i="3"/>
  <c r="F976" i="3" a="1"/>
  <c r="F976" i="3" s="1"/>
  <c r="F977" i="3" a="1"/>
  <c r="F977" i="3"/>
  <c r="F978" i="3" a="1"/>
  <c r="F978" i="3" s="1"/>
  <c r="F979" i="3" a="1"/>
  <c r="F979" i="3" s="1"/>
  <c r="F980" i="3" a="1"/>
  <c r="F980" i="3" s="1"/>
  <c r="F981" i="3" a="1"/>
  <c r="F981" i="3"/>
  <c r="F982" i="3" a="1"/>
  <c r="F982" i="3" s="1"/>
  <c r="F983" i="3" a="1"/>
  <c r="F983" i="3" s="1"/>
  <c r="F984" i="3" a="1"/>
  <c r="F984" i="3" s="1"/>
  <c r="F985" i="3" a="1"/>
  <c r="F985" i="3"/>
  <c r="F986" i="3" a="1"/>
  <c r="F986" i="3"/>
  <c r="F987" i="3" a="1"/>
  <c r="F987" i="3"/>
  <c r="F988" i="3" a="1"/>
  <c r="F988" i="3" s="1"/>
  <c r="F989" i="3" a="1"/>
  <c r="F989" i="3" s="1"/>
  <c r="F990" i="3" a="1"/>
  <c r="F990" i="3" s="1"/>
  <c r="F991" i="3" a="1"/>
  <c r="F991" i="3"/>
  <c r="F992" i="3" a="1"/>
  <c r="F992" i="3" s="1"/>
  <c r="F993" i="3" a="1"/>
  <c r="F993" i="3" s="1"/>
  <c r="F994" i="3" a="1"/>
  <c r="F994" i="3" s="1"/>
  <c r="F995" i="3" a="1"/>
  <c r="F995" i="3"/>
  <c r="F996" i="3" a="1"/>
  <c r="F996" i="3"/>
  <c r="F997" i="3" a="1"/>
  <c r="F997" i="3"/>
  <c r="F998" i="3" a="1"/>
  <c r="F998" i="3" s="1"/>
  <c r="F999" i="3" a="1"/>
  <c r="F999" i="3" s="1"/>
  <c r="F1000" i="3" a="1"/>
  <c r="F1000" i="3" s="1"/>
  <c r="F1001" i="3" a="1"/>
  <c r="F1001" i="3"/>
  <c r="F1002" i="3" a="1"/>
  <c r="F1002" i="3" s="1"/>
  <c r="F1003" i="3" a="1"/>
  <c r="F1003" i="3" s="1"/>
  <c r="F1004" i="3" a="1"/>
  <c r="F1004" i="3" s="1"/>
  <c r="F1005" i="3" a="1"/>
  <c r="F1005" i="3"/>
  <c r="F1006" i="3" a="1"/>
  <c r="F1006" i="3" s="1"/>
  <c r="F1007" i="3" a="1"/>
  <c r="F1007" i="3"/>
  <c r="F1008" i="3" a="1"/>
  <c r="F1008" i="3" s="1"/>
  <c r="F1009" i="3" a="1"/>
  <c r="F1009" i="3" s="1"/>
  <c r="F1010" i="3" a="1"/>
  <c r="F1010" i="3" s="1"/>
  <c r="F1011" i="3" a="1"/>
  <c r="F1011" i="3"/>
  <c r="F1012" i="3" a="1"/>
  <c r="F1012" i="3" s="1"/>
  <c r="F1013" i="3" a="1"/>
  <c r="F1013" i="3" s="1"/>
  <c r="F1014" i="3" a="1"/>
  <c r="F1014" i="3" s="1"/>
  <c r="F1015" i="3" a="1"/>
  <c r="F1015" i="3"/>
  <c r="F1016" i="3" a="1"/>
  <c r="F1016" i="3"/>
  <c r="F1017" i="3" a="1"/>
  <c r="F1017" i="3"/>
  <c r="F1018" i="3" a="1"/>
  <c r="F1018" i="3" s="1"/>
  <c r="F1019" i="3" a="1"/>
  <c r="F1019" i="3" s="1"/>
  <c r="F1020" i="3" a="1"/>
  <c r="F1020" i="3" s="1"/>
  <c r="F1021" i="3" a="1"/>
  <c r="F1021" i="3"/>
  <c r="F1022" i="3" a="1"/>
  <c r="F1022" i="3" s="1"/>
  <c r="F1023" i="3" a="1"/>
  <c r="F1023" i="3" s="1"/>
  <c r="F1024" i="3" a="1"/>
  <c r="F1024" i="3" s="1"/>
  <c r="F1025" i="3" a="1"/>
  <c r="F1025" i="3"/>
  <c r="F1026" i="3" a="1"/>
  <c r="F1026" i="3" s="1"/>
  <c r="F1027" i="3" a="1"/>
  <c r="F1027" i="3"/>
  <c r="F1028" i="3" a="1"/>
  <c r="F1028" i="3" s="1"/>
  <c r="F1029" i="3" a="1"/>
  <c r="F1029" i="3" s="1"/>
  <c r="F1030" i="3" a="1"/>
  <c r="F1030" i="3" s="1"/>
  <c r="F1031" i="3" a="1"/>
  <c r="F1031" i="3"/>
  <c r="F1032" i="3" a="1"/>
  <c r="F1032" i="3" s="1"/>
  <c r="F1033" i="3" a="1"/>
  <c r="F1033" i="3" s="1"/>
  <c r="F1034" i="3" a="1"/>
  <c r="F1034" i="3" s="1"/>
  <c r="F1035" i="3" a="1"/>
  <c r="F1035" i="3"/>
  <c r="F1036" i="3" a="1"/>
  <c r="F1036" i="3"/>
  <c r="F1037" i="3" a="1"/>
  <c r="F1037" i="3"/>
  <c r="F1038" i="3" a="1"/>
  <c r="F1038" i="3" s="1"/>
  <c r="F1039" i="3" a="1"/>
  <c r="F1039" i="3" s="1"/>
  <c r="F1040" i="3" a="1"/>
  <c r="F1040" i="3" s="1"/>
  <c r="F1041" i="3" a="1"/>
  <c r="F1041" i="3"/>
  <c r="F1042" i="3" a="1"/>
  <c r="F1042" i="3" s="1"/>
  <c r="F1043" i="3" a="1"/>
  <c r="F1043" i="3" s="1"/>
  <c r="F1044" i="3" a="1"/>
  <c r="F1044" i="3" s="1"/>
  <c r="F1045" i="3" a="1"/>
  <c r="F1045" i="3"/>
  <c r="F1046" i="3" a="1"/>
  <c r="F1046" i="3" s="1"/>
  <c r="F1047" i="3" a="1"/>
  <c r="F1047" i="3"/>
  <c r="F1048" i="3" a="1"/>
  <c r="F1048" i="3" s="1"/>
  <c r="F1049" i="3" a="1"/>
  <c r="F1049" i="3" s="1"/>
  <c r="F1050" i="3" a="1"/>
  <c r="F1050" i="3" s="1"/>
  <c r="F1051" i="3" a="1"/>
  <c r="F1051" i="3"/>
  <c r="F1052" i="3" a="1"/>
  <c r="F1052" i="3" s="1"/>
  <c r="F1053" i="3" a="1"/>
  <c r="F1053" i="3" s="1"/>
  <c r="F1054" i="3" a="1"/>
  <c r="F1054" i="3" s="1"/>
  <c r="F1055" i="3" a="1"/>
  <c r="F1055" i="3"/>
  <c r="F1056" i="3" a="1"/>
  <c r="F1056" i="3"/>
  <c r="F1057" i="3" a="1"/>
  <c r="F1057" i="3"/>
  <c r="F1058" i="3" a="1"/>
  <c r="F1058" i="3" s="1"/>
  <c r="F1059" i="3" a="1"/>
  <c r="F1059" i="3" s="1"/>
  <c r="F1060" i="3" a="1"/>
  <c r="F1060" i="3" s="1"/>
  <c r="F1061" i="3" a="1"/>
  <c r="F1061" i="3"/>
  <c r="F1062" i="3" a="1"/>
  <c r="F1062" i="3" s="1"/>
  <c r="F1063" i="3" a="1"/>
  <c r="F1063" i="3" s="1"/>
  <c r="F1064" i="3" a="1"/>
  <c r="F1064" i="3" s="1"/>
  <c r="F1065" i="3" a="1"/>
  <c r="F1065" i="3"/>
  <c r="F1066" i="3" a="1"/>
  <c r="F1066" i="3" s="1"/>
  <c r="F1067" i="3" a="1"/>
  <c r="F1067" i="3"/>
  <c r="F1068" i="3" a="1"/>
  <c r="F1068" i="3" s="1"/>
  <c r="F1069" i="3" a="1"/>
  <c r="F1069" i="3" s="1"/>
  <c r="F1070" i="3" a="1"/>
  <c r="F1070" i="3" s="1"/>
  <c r="F1071" i="3" a="1"/>
  <c r="F1071" i="3"/>
  <c r="F1072" i="3" a="1"/>
  <c r="F1072" i="3" s="1"/>
  <c r="F1073" i="3" a="1"/>
  <c r="F1073" i="3" s="1"/>
  <c r="F1074" i="3" a="1"/>
  <c r="F1074" i="3" s="1"/>
  <c r="F1075" i="3" a="1"/>
  <c r="F1075" i="3"/>
  <c r="F1076" i="3" a="1"/>
  <c r="F1076" i="3" s="1"/>
  <c r="F1077" i="3" a="1"/>
  <c r="F1077" i="3"/>
  <c r="F1078" i="3" a="1"/>
  <c r="F1078" i="3" s="1"/>
  <c r="F1079" i="3" a="1"/>
  <c r="F1079" i="3" s="1"/>
  <c r="F1080" i="3" a="1"/>
  <c r="F1080" i="3" s="1"/>
  <c r="F1081" i="3" a="1"/>
  <c r="F1081" i="3"/>
  <c r="F1082" i="3" a="1"/>
  <c r="F1082" i="3" s="1"/>
  <c r="F1083" i="3" a="1"/>
  <c r="F1083" i="3" s="1"/>
  <c r="F1084" i="3" a="1"/>
  <c r="F1084" i="3" s="1"/>
  <c r="F1085" i="3" a="1"/>
  <c r="F1085" i="3"/>
  <c r="F1086" i="3" a="1"/>
  <c r="F1086" i="3"/>
  <c r="F1087" i="3" a="1"/>
  <c r="F1087" i="3"/>
  <c r="F1088" i="3" a="1"/>
  <c r="F1088" i="3" s="1"/>
  <c r="F1089" i="3" a="1"/>
  <c r="F1089" i="3" s="1"/>
  <c r="F1090" i="3" a="1"/>
  <c r="F1090" i="3" s="1"/>
  <c r="F1091" i="3" a="1"/>
  <c r="F1091" i="3"/>
  <c r="F1092" i="3" a="1"/>
  <c r="F1092" i="3" s="1"/>
  <c r="F1093" i="3" a="1"/>
  <c r="F1093" i="3" s="1"/>
  <c r="F1094" i="3" a="1"/>
  <c r="F1094" i="3" s="1"/>
  <c r="F1095" i="3" a="1"/>
  <c r="F1095" i="3"/>
  <c r="F1096" i="3" a="1"/>
  <c r="F1096" i="3" s="1"/>
  <c r="F1097" i="3" a="1"/>
  <c r="F1097" i="3"/>
  <c r="F1098" i="3" a="1"/>
  <c r="F1098" i="3" s="1"/>
  <c r="F1099" i="3" a="1"/>
  <c r="F1099" i="3" s="1"/>
  <c r="F1100" i="3" a="1"/>
  <c r="F1100" i="3" s="1"/>
  <c r="F1101" i="3" a="1"/>
  <c r="F1101" i="3"/>
  <c r="F2" i="3" a="1"/>
  <c r="F2" i="3" s="1"/>
  <c r="C3" i="3" a="1"/>
  <c r="C3" i="3" s="1"/>
  <c r="C4" i="3" a="1"/>
  <c r="C4" i="3" s="1"/>
  <c r="C5" i="3" a="1"/>
  <c r="C5" i="3" s="1"/>
  <c r="C6" i="3" a="1"/>
  <c r="C6" i="3"/>
  <c r="C7" i="3" a="1"/>
  <c r="C7" i="3" s="1"/>
  <c r="C8" i="3" a="1"/>
  <c r="C8" i="3" s="1"/>
  <c r="C9" i="3" a="1"/>
  <c r="C9" i="3"/>
  <c r="C10" i="3" a="1"/>
  <c r="C10" i="3" s="1"/>
  <c r="C11" i="3" a="1"/>
  <c r="C11" i="3" s="1"/>
  <c r="C12" i="3" a="1"/>
  <c r="C12" i="3"/>
  <c r="C13" i="3" a="1"/>
  <c r="C13" i="3" s="1"/>
  <c r="C14" i="3" a="1"/>
  <c r="C14" i="3" s="1"/>
  <c r="C15" i="3" a="1"/>
  <c r="C15" i="3" s="1"/>
  <c r="C16" i="3" a="1"/>
  <c r="C16" i="3"/>
  <c r="C17" i="3" a="1"/>
  <c r="C17" i="3" s="1"/>
  <c r="C18" i="3" a="1"/>
  <c r="C18" i="3" s="1"/>
  <c r="C19" i="3" a="1"/>
  <c r="C19" i="3"/>
  <c r="C20" i="3" a="1"/>
  <c r="C20" i="3" s="1"/>
  <c r="C21" i="3" a="1"/>
  <c r="C21" i="3"/>
  <c r="C22" i="3" a="1"/>
  <c r="C22" i="3" s="1"/>
  <c r="C23" i="3" a="1"/>
  <c r="C23" i="3" s="1"/>
  <c r="C24" i="3" a="1"/>
  <c r="C24" i="3" s="1"/>
  <c r="C25" i="3" a="1"/>
  <c r="C25" i="3" s="1"/>
  <c r="C26" i="3" a="1"/>
  <c r="C26" i="3"/>
  <c r="C27" i="3" a="1"/>
  <c r="C27" i="3"/>
  <c r="C28" i="3" a="1"/>
  <c r="C28" i="3" s="1"/>
  <c r="C29" i="3" a="1"/>
  <c r="C29" i="3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/>
  <c r="C37" i="3" a="1"/>
  <c r="C37" i="3"/>
  <c r="C38" i="3" a="1"/>
  <c r="C38" i="3" s="1"/>
  <c r="C39" i="3" a="1"/>
  <c r="C39" i="3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/>
  <c r="C47" i="3" a="1"/>
  <c r="C47" i="3" s="1"/>
  <c r="C48" i="3" a="1"/>
  <c r="C48" i="3" s="1"/>
  <c r="C49" i="3" a="1"/>
  <c r="C49" i="3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/>
  <c r="C57" i="3" a="1"/>
  <c r="C57" i="3" s="1"/>
  <c r="C58" i="3" a="1"/>
  <c r="C58" i="3" s="1"/>
  <c r="C59" i="3" a="1"/>
  <c r="C59" i="3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/>
  <c r="C67" i="3" a="1"/>
  <c r="C67" i="3" s="1"/>
  <c r="C68" i="3" a="1"/>
  <c r="C68" i="3" s="1"/>
  <c r="C69" i="3" a="1"/>
  <c r="C69" i="3"/>
  <c r="C70" i="3" a="1"/>
  <c r="C70" i="3" s="1"/>
  <c r="C71" i="3" a="1"/>
  <c r="C71" i="3"/>
  <c r="C72" i="3" a="1"/>
  <c r="C72" i="3" s="1"/>
  <c r="C73" i="3" a="1"/>
  <c r="C73" i="3" s="1"/>
  <c r="C74" i="3" a="1"/>
  <c r="C74" i="3" s="1"/>
  <c r="C75" i="3" a="1"/>
  <c r="C75" i="3" s="1"/>
  <c r="C76" i="3" a="1"/>
  <c r="C76" i="3"/>
  <c r="C77" i="3" a="1"/>
  <c r="C77" i="3"/>
  <c r="C78" i="3" a="1"/>
  <c r="C78" i="3" s="1"/>
  <c r="C79" i="3" a="1"/>
  <c r="C79" i="3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/>
  <c r="C87" i="3" a="1"/>
  <c r="C87" i="3"/>
  <c r="C88" i="3" a="1"/>
  <c r="C88" i="3" s="1"/>
  <c r="C89" i="3" a="1"/>
  <c r="C89" i="3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/>
  <c r="C97" i="3" a="1"/>
  <c r="C97" i="3" s="1"/>
  <c r="C98" i="3" a="1"/>
  <c r="C98" i="3" s="1"/>
  <c r="C99" i="3" a="1"/>
  <c r="C99" i="3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/>
  <c r="C107" i="3" a="1"/>
  <c r="C107" i="3" s="1"/>
  <c r="C108" i="3" a="1"/>
  <c r="C108" i="3" s="1"/>
  <c r="C109" i="3" a="1"/>
  <c r="C109" i="3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/>
  <c r="C117" i="3" a="1"/>
  <c r="C117" i="3" s="1"/>
  <c r="C118" i="3" a="1"/>
  <c r="C118" i="3" s="1"/>
  <c r="C119" i="3" a="1"/>
  <c r="C119" i="3"/>
  <c r="C120" i="3" a="1"/>
  <c r="C120" i="3" s="1"/>
  <c r="C121" i="3" a="1"/>
  <c r="C121" i="3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/>
  <c r="C128" i="3" a="1"/>
  <c r="C128" i="3" s="1"/>
  <c r="C129" i="3" a="1"/>
  <c r="C129" i="3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/>
  <c r="C138" i="3" a="1"/>
  <c r="C138" i="3" s="1"/>
  <c r="C139" i="3" a="1"/>
  <c r="C139" i="3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/>
  <c r="C170" i="3" a="1"/>
  <c r="C170" i="3" s="1"/>
  <c r="C171" i="3" a="1"/>
  <c r="C171" i="3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/>
  <c r="C178" i="3" a="1"/>
  <c r="C178" i="3" s="1"/>
  <c r="C179" i="3" a="1"/>
  <c r="C179" i="3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/>
  <c r="C188" i="3" a="1"/>
  <c r="C188" i="3" s="1"/>
  <c r="C189" i="3" a="1"/>
  <c r="C189" i="3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/>
  <c r="C220" i="3" a="1"/>
  <c r="C220" i="3" s="1"/>
  <c r="C221" i="3" a="1"/>
  <c r="C221" i="3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/>
  <c r="C228" i="3" a="1"/>
  <c r="C228" i="3" s="1"/>
  <c r="C229" i="3" a="1"/>
  <c r="C229" i="3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/>
  <c r="C238" i="3" a="1"/>
  <c r="C238" i="3" s="1"/>
  <c r="C239" i="3" a="1"/>
  <c r="C239" i="3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/>
  <c r="C270" i="3" a="1"/>
  <c r="C270" i="3" s="1"/>
  <c r="C271" i="3" a="1"/>
  <c r="C271" i="3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/>
  <c r="C278" i="3" a="1"/>
  <c r="C278" i="3" s="1"/>
  <c r="C279" i="3" a="1"/>
  <c r="C279" i="3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/>
  <c r="C288" i="3" a="1"/>
  <c r="C288" i="3" s="1"/>
  <c r="C289" i="3" a="1"/>
  <c r="C289" i="3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/>
  <c r="C320" i="3" a="1"/>
  <c r="C320" i="3" s="1"/>
  <c r="C321" i="3" a="1"/>
  <c r="C321" i="3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/>
  <c r="C637" i="3" a="1"/>
  <c r="C637" i="3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/>
  <c r="C687" i="3" a="1"/>
  <c r="C687" i="3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/>
  <c r="C737" i="3" a="1"/>
  <c r="C737" i="3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/>
  <c r="C787" i="3" a="1"/>
  <c r="C787" i="3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/>
  <c r="C837" i="3" a="1"/>
  <c r="C837" i="3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/>
  <c r="C849" i="3" a="1"/>
  <c r="C849" i="3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/>
  <c r="C859" i="3" a="1"/>
  <c r="C859" i="3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/>
  <c r="C869" i="3" a="1"/>
  <c r="C869" i="3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/>
  <c r="C879" i="3" a="1"/>
  <c r="C879" i="3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/>
  <c r="C889" i="3" a="1"/>
  <c r="C889" i="3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/>
  <c r="C897" i="3" a="1"/>
  <c r="C897" i="3" s="1"/>
  <c r="C898" i="3" a="1"/>
  <c r="C898" i="3"/>
  <c r="C899" i="3" a="1"/>
  <c r="C899" i="3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/>
  <c r="C907" i="3" a="1"/>
  <c r="C907" i="3" s="1"/>
  <c r="C908" i="3" a="1"/>
  <c r="C908" i="3"/>
  <c r="C909" i="3" a="1"/>
  <c r="C909" i="3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/>
  <c r="C917" i="3" a="1"/>
  <c r="C917" i="3" s="1"/>
  <c r="C918" i="3" a="1"/>
  <c r="C918" i="3"/>
  <c r="C919" i="3" a="1"/>
  <c r="C919" i="3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/>
  <c r="C927" i="3" a="1"/>
  <c r="C927" i="3" s="1"/>
  <c r="C928" i="3" a="1"/>
  <c r="C928" i="3"/>
  <c r="C929" i="3" a="1"/>
  <c r="C929" i="3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/>
  <c r="C937" i="3" a="1"/>
  <c r="C937" i="3" s="1"/>
  <c r="C938" i="3" a="1"/>
  <c r="C938" i="3"/>
  <c r="C939" i="3" a="1"/>
  <c r="C939" i="3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/>
  <c r="C947" i="3" a="1"/>
  <c r="C947" i="3" s="1"/>
  <c r="C948" i="3" a="1"/>
  <c r="C948" i="3"/>
  <c r="C949" i="3" a="1"/>
  <c r="C949" i="3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/>
  <c r="C957" i="3" a="1"/>
  <c r="C957" i="3" s="1"/>
  <c r="C958" i="3" a="1"/>
  <c r="C958" i="3"/>
  <c r="C959" i="3" a="1"/>
  <c r="C959" i="3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/>
  <c r="C967" i="3" a="1"/>
  <c r="C967" i="3" s="1"/>
  <c r="C968" i="3" a="1"/>
  <c r="C968" i="3"/>
  <c r="C969" i="3" a="1"/>
  <c r="C969" i="3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/>
  <c r="C977" i="3" a="1"/>
  <c r="C977" i="3" s="1"/>
  <c r="C978" i="3" a="1"/>
  <c r="C978" i="3"/>
  <c r="C979" i="3" a="1"/>
  <c r="C979" i="3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/>
  <c r="C987" i="3" a="1"/>
  <c r="C987" i="3" s="1"/>
  <c r="C988" i="3" a="1"/>
  <c r="C988" i="3"/>
  <c r="C989" i="3" a="1"/>
  <c r="C989" i="3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/>
  <c r="C997" i="3" a="1"/>
  <c r="C997" i="3" s="1"/>
  <c r="C998" i="3" a="1"/>
  <c r="C998" i="3"/>
  <c r="C999" i="3" a="1"/>
  <c r="C999" i="3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/>
  <c r="C1007" i="3" a="1"/>
  <c r="C1007" i="3" s="1"/>
  <c r="C1008" i="3" a="1"/>
  <c r="C1008" i="3"/>
  <c r="C1009" i="3" a="1"/>
  <c r="C1009" i="3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/>
  <c r="C1017" i="3" a="1"/>
  <c r="C1017" i="3" s="1"/>
  <c r="C1018" i="3" a="1"/>
  <c r="C1018" i="3"/>
  <c r="C1019" i="3" a="1"/>
  <c r="C1019" i="3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/>
  <c r="C1027" i="3" a="1"/>
  <c r="C1027" i="3" s="1"/>
  <c r="C1028" i="3" a="1"/>
  <c r="C1028" i="3"/>
  <c r="C1029" i="3" a="1"/>
  <c r="C1029" i="3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/>
  <c r="C1037" i="3" a="1"/>
  <c r="C1037" i="3" s="1"/>
  <c r="C1038" i="3" a="1"/>
  <c r="C1038" i="3"/>
  <c r="C1039" i="3" a="1"/>
  <c r="C1039" i="3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/>
  <c r="C1047" i="3" a="1"/>
  <c r="C1047" i="3" s="1"/>
  <c r="C1048" i="3" a="1"/>
  <c r="C1048" i="3"/>
  <c r="C1049" i="3" a="1"/>
  <c r="C1049" i="3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/>
  <c r="C1057" i="3" a="1"/>
  <c r="C1057" i="3" s="1"/>
  <c r="C1058" i="3" a="1"/>
  <c r="C1058" i="3"/>
  <c r="C1059" i="3" a="1"/>
  <c r="C1059" i="3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/>
  <c r="C1067" i="3" a="1"/>
  <c r="C1067" i="3" s="1"/>
  <c r="C1068" i="3" a="1"/>
  <c r="C1068" i="3"/>
  <c r="C1069" i="3" a="1"/>
  <c r="C1069" i="3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/>
  <c r="C1077" i="3" a="1"/>
  <c r="C1077" i="3" s="1"/>
  <c r="C1078" i="3" a="1"/>
  <c r="C1078" i="3"/>
  <c r="C1079" i="3" a="1"/>
  <c r="C1079" i="3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/>
  <c r="C1087" i="3" a="1"/>
  <c r="C1087" i="3" s="1"/>
  <c r="C1088" i="3" a="1"/>
  <c r="C1088" i="3"/>
  <c r="C1089" i="3" a="1"/>
  <c r="C1089" i="3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/>
  <c r="C1097" i="3" a="1"/>
  <c r="C1097" i="3" s="1"/>
  <c r="C1098" i="3" a="1"/>
  <c r="C1098" i="3"/>
  <c r="C1099" i="3" a="1"/>
  <c r="C1099" i="3"/>
  <c r="C1100" i="3" a="1"/>
  <c r="C1100" i="3" s="1"/>
  <c r="C1101" i="3" a="1"/>
  <c r="C1101" i="3" s="1"/>
  <c r="C2" i="3" a="1"/>
  <c r="C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54"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</futureMetadata>
  <cellMetadata count="1">
    <bk>
      <rc t="1" v="0"/>
    </bk>
  </cellMetadata>
  <valueMetadata count="55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</valueMetadata>
</metadata>
</file>

<file path=xl/sharedStrings.xml><?xml version="1.0" encoding="utf-8"?>
<sst xmlns="http://schemas.openxmlformats.org/spreadsheetml/2006/main" count="1132" uniqueCount="585">
  <si>
    <t>A.NUMBER()</t>
  </si>
  <si>
    <t>A.STRING()</t>
  </si>
  <si>
    <t>A.BOOLEAN()</t>
  </si>
  <si>
    <t>A.ARRAY()</t>
  </si>
  <si>
    <t>A.MATRIX()</t>
  </si>
  <si>
    <t>A.ARRAY(0)</t>
  </si>
  <si>
    <t>A.MATRIX(1)</t>
  </si>
  <si>
    <t>A.OBJECT()</t>
  </si>
  <si>
    <t>A.ADD(11, 12)</t>
  </si>
  <si>
    <t>A.ADD("11", "12")</t>
  </si>
  <si>
    <t>A.CONCATENATE({1, 2, 3}, {4, 5, 6})</t>
  </si>
  <si>
    <t>A.DELAY(1)</t>
  </si>
  <si>
    <t>GLOBALNAMESPACE()</t>
  </si>
  <si>
    <t>A.VOLATILESTATEFULRANDOMWALK()</t>
  </si>
  <si>
    <r>
      <t>accessibility </t>
    </r>
    <r>
      <rPr>
        <sz val="11"/>
        <color rgb="FFD2D2D2"/>
        <rFont val="Aptos Narrow"/>
        <family val="2"/>
        <scheme val="minor"/>
      </rPr>
      <t>= "Accessibility"</t>
    </r>
  </si>
  <si>
    <r>
      <t>airplane </t>
    </r>
    <r>
      <rPr>
        <sz val="11"/>
        <color rgb="FFD2D2D2"/>
        <rFont val="Aptos Narrow"/>
        <family val="2"/>
        <scheme val="minor"/>
      </rPr>
      <t>= "Airplane"</t>
    </r>
  </si>
  <si>
    <r>
      <t>airplaneTakeOff </t>
    </r>
    <r>
      <rPr>
        <sz val="11"/>
        <color rgb="FFD2D2D2"/>
        <rFont val="Aptos Narrow"/>
        <family val="2"/>
        <scheme val="minor"/>
      </rPr>
      <t>= "AirplaneTakeOff"</t>
    </r>
  </si>
  <si>
    <r>
      <t>album </t>
    </r>
    <r>
      <rPr>
        <sz val="11"/>
        <color rgb="FFD2D2D2"/>
        <rFont val="Aptos Narrow"/>
        <family val="2"/>
        <scheme val="minor"/>
      </rPr>
      <t>= "Album"</t>
    </r>
  </si>
  <si>
    <r>
      <t>alert </t>
    </r>
    <r>
      <rPr>
        <sz val="11"/>
        <color rgb="FFD2D2D2"/>
        <rFont val="Aptos Narrow"/>
        <family val="2"/>
        <scheme val="minor"/>
      </rPr>
      <t>= "Alert"</t>
    </r>
  </si>
  <si>
    <r>
      <t>alertUrgent </t>
    </r>
    <r>
      <rPr>
        <sz val="11"/>
        <color rgb="FFD2D2D2"/>
        <rFont val="Aptos Narrow"/>
        <family val="2"/>
        <scheme val="minor"/>
      </rPr>
      <t>= "AlertUrgent"</t>
    </r>
  </si>
  <si>
    <r>
      <t>animal </t>
    </r>
    <r>
      <rPr>
        <sz val="11"/>
        <color rgb="FFD2D2D2"/>
        <rFont val="Aptos Narrow"/>
        <family val="2"/>
        <scheme val="minor"/>
      </rPr>
      <t>= "Animal"</t>
    </r>
  </si>
  <si>
    <r>
      <t>animalCat </t>
    </r>
    <r>
      <rPr>
        <sz val="11"/>
        <color rgb="FFD2D2D2"/>
        <rFont val="Aptos Narrow"/>
        <family val="2"/>
        <scheme val="minor"/>
      </rPr>
      <t>= "AnimalCat"</t>
    </r>
  </si>
  <si>
    <r>
      <t>animalDog </t>
    </r>
    <r>
      <rPr>
        <sz val="11"/>
        <color rgb="FFD2D2D2"/>
        <rFont val="Aptos Narrow"/>
        <family val="2"/>
        <scheme val="minor"/>
      </rPr>
      <t>= "AnimalDog"</t>
    </r>
  </si>
  <si>
    <r>
      <t>animalRabbit </t>
    </r>
    <r>
      <rPr>
        <sz val="11"/>
        <color rgb="FFD2D2D2"/>
        <rFont val="Aptos Narrow"/>
        <family val="2"/>
        <scheme val="minor"/>
      </rPr>
      <t>= "AnimalRabbit"</t>
    </r>
  </si>
  <si>
    <r>
      <t>animalTurtle </t>
    </r>
    <r>
      <rPr>
        <sz val="11"/>
        <color rgb="FFD2D2D2"/>
        <rFont val="Aptos Narrow"/>
        <family val="2"/>
        <scheme val="minor"/>
      </rPr>
      <t>= "AnimalTurtle"</t>
    </r>
  </si>
  <si>
    <r>
      <t>appFolder </t>
    </r>
    <r>
      <rPr>
        <sz val="11"/>
        <color rgb="FFD2D2D2"/>
        <rFont val="Aptos Narrow"/>
        <family val="2"/>
        <scheme val="minor"/>
      </rPr>
      <t>= "AppFolder"</t>
    </r>
  </si>
  <si>
    <r>
      <t>appGeneric </t>
    </r>
    <r>
      <rPr>
        <sz val="11"/>
        <color rgb="FFD2D2D2"/>
        <rFont val="Aptos Narrow"/>
        <family val="2"/>
        <scheme val="minor"/>
      </rPr>
      <t>= "AppGeneric"</t>
    </r>
  </si>
  <si>
    <r>
      <t>apple </t>
    </r>
    <r>
      <rPr>
        <sz val="11"/>
        <color rgb="FFD2D2D2"/>
        <rFont val="Aptos Narrow"/>
        <family val="2"/>
        <scheme val="minor"/>
      </rPr>
      <t>= "Apple"</t>
    </r>
  </si>
  <si>
    <r>
      <t>approvalsApp </t>
    </r>
    <r>
      <rPr>
        <sz val="11"/>
        <color rgb="FFD2D2D2"/>
        <rFont val="Aptos Narrow"/>
        <family val="2"/>
        <scheme val="minor"/>
      </rPr>
      <t>= "ApprovalsApp"</t>
    </r>
  </si>
  <si>
    <r>
      <t>archive </t>
    </r>
    <r>
      <rPr>
        <sz val="11"/>
        <color rgb="FFD2D2D2"/>
        <rFont val="Aptos Narrow"/>
        <family val="2"/>
        <scheme val="minor"/>
      </rPr>
      <t>= "Archive"</t>
    </r>
  </si>
  <si>
    <r>
      <t>archiveMultiple </t>
    </r>
    <r>
      <rPr>
        <sz val="11"/>
        <color rgb="FFD2D2D2"/>
        <rFont val="Aptos Narrow"/>
        <family val="2"/>
        <scheme val="minor"/>
      </rPr>
      <t>= "ArchiveMultiple"</t>
    </r>
  </si>
  <si>
    <r>
      <t>arrowTrendingLines </t>
    </r>
    <r>
      <rPr>
        <sz val="11"/>
        <color rgb="FFD2D2D2"/>
        <rFont val="Aptos Narrow"/>
        <family val="2"/>
        <scheme val="minor"/>
      </rPr>
      <t>= "ArrowTrendingLines"</t>
    </r>
  </si>
  <si>
    <r>
      <t>art </t>
    </r>
    <r>
      <rPr>
        <sz val="11"/>
        <color rgb="FFD2D2D2"/>
        <rFont val="Aptos Narrow"/>
        <family val="2"/>
        <scheme val="minor"/>
      </rPr>
      <t>= "Art"</t>
    </r>
  </si>
  <si>
    <r>
      <t>atom </t>
    </r>
    <r>
      <rPr>
        <sz val="11"/>
        <color rgb="FFD2D2D2"/>
        <rFont val="Aptos Narrow"/>
        <family val="2"/>
        <scheme val="minor"/>
      </rPr>
      <t>= "Atom"</t>
    </r>
  </si>
  <si>
    <r>
      <t>attach </t>
    </r>
    <r>
      <rPr>
        <sz val="11"/>
        <color rgb="FFD2D2D2"/>
        <rFont val="Aptos Narrow"/>
        <family val="2"/>
        <scheme val="minor"/>
      </rPr>
      <t>= "Attach"</t>
    </r>
  </si>
  <si>
    <r>
      <t>automobile </t>
    </r>
    <r>
      <rPr>
        <sz val="11"/>
        <color rgb="FFD2D2D2"/>
        <rFont val="Aptos Narrow"/>
        <family val="2"/>
        <scheme val="minor"/>
      </rPr>
      <t>= "Automobile"</t>
    </r>
  </si>
  <si>
    <r>
      <t>autosum </t>
    </r>
    <r>
      <rPr>
        <sz val="11"/>
        <color rgb="FFD2D2D2"/>
        <rFont val="Aptos Narrow"/>
        <family val="2"/>
        <scheme val="minor"/>
      </rPr>
      <t>= "Autosum"</t>
    </r>
  </si>
  <si>
    <r>
      <t>backpack </t>
    </r>
    <r>
      <rPr>
        <sz val="11"/>
        <color rgb="FFD2D2D2"/>
        <rFont val="Aptos Narrow"/>
        <family val="2"/>
        <scheme val="minor"/>
      </rPr>
      <t>= "Backpack"</t>
    </r>
  </si>
  <si>
    <r>
      <t>badge </t>
    </r>
    <r>
      <rPr>
        <sz val="11"/>
        <color rgb="FFD2D2D2"/>
        <rFont val="Aptos Narrow"/>
        <family val="2"/>
        <scheme val="minor"/>
      </rPr>
      <t>= "Badge"</t>
    </r>
  </si>
  <si>
    <r>
      <t>balloon </t>
    </r>
    <r>
      <rPr>
        <sz val="11"/>
        <color rgb="FFD2D2D2"/>
        <rFont val="Aptos Narrow"/>
        <family val="2"/>
        <scheme val="minor"/>
      </rPr>
      <t>= "Balloon"</t>
    </r>
  </si>
  <si>
    <r>
      <t>bank </t>
    </r>
    <r>
      <rPr>
        <sz val="11"/>
        <color rgb="FFD2D2D2"/>
        <rFont val="Aptos Narrow"/>
        <family val="2"/>
        <scheme val="minor"/>
      </rPr>
      <t>= "Bank"</t>
    </r>
  </si>
  <si>
    <r>
      <t>barcodeScanner </t>
    </r>
    <r>
      <rPr>
        <sz val="11"/>
        <color rgb="FFD2D2D2"/>
        <rFont val="Aptos Narrow"/>
        <family val="2"/>
        <scheme val="minor"/>
      </rPr>
      <t>= "BarcodeScanner"</t>
    </r>
  </si>
  <si>
    <r>
      <t>basketball </t>
    </r>
    <r>
      <rPr>
        <sz val="11"/>
        <color rgb="FFD2D2D2"/>
        <rFont val="Aptos Narrow"/>
        <family val="2"/>
        <scheme val="minor"/>
      </rPr>
      <t>= "Basketball"</t>
    </r>
  </si>
  <si>
    <r>
      <t>battery0 </t>
    </r>
    <r>
      <rPr>
        <sz val="11"/>
        <color rgb="FFD2D2D2"/>
        <rFont val="Aptos Narrow"/>
        <family val="2"/>
        <scheme val="minor"/>
      </rPr>
      <t>= "Battery0"</t>
    </r>
  </si>
  <si>
    <r>
      <t>battery10 </t>
    </r>
    <r>
      <rPr>
        <sz val="11"/>
        <color rgb="FFD2D2D2"/>
        <rFont val="Aptos Narrow"/>
        <family val="2"/>
        <scheme val="minor"/>
      </rPr>
      <t>= "Battery10"</t>
    </r>
  </si>
  <si>
    <r>
      <t>beach </t>
    </r>
    <r>
      <rPr>
        <sz val="11"/>
        <color rgb="FFD2D2D2"/>
        <rFont val="Aptos Narrow"/>
        <family val="2"/>
        <scheme val="minor"/>
      </rPr>
      <t>= "Beach"</t>
    </r>
  </si>
  <si>
    <r>
      <t>beaker </t>
    </r>
    <r>
      <rPr>
        <sz val="11"/>
        <color rgb="FFD2D2D2"/>
        <rFont val="Aptos Narrow"/>
        <family val="2"/>
        <scheme val="minor"/>
      </rPr>
      <t>= "Beaker"</t>
    </r>
  </si>
  <si>
    <r>
      <t>bed </t>
    </r>
    <r>
      <rPr>
        <sz val="11"/>
        <color rgb="FFD2D2D2"/>
        <rFont val="Aptos Narrow"/>
        <family val="2"/>
        <scheme val="minor"/>
      </rPr>
      <t>= "Bed"</t>
    </r>
  </si>
  <si>
    <r>
      <t>binFull </t>
    </r>
    <r>
      <rPr>
        <sz val="11"/>
        <color rgb="FFD2D2D2"/>
        <rFont val="Aptos Narrow"/>
        <family val="2"/>
        <scheme val="minor"/>
      </rPr>
      <t>= "BinFull"</t>
    </r>
  </si>
  <si>
    <r>
      <t>bird </t>
    </r>
    <r>
      <rPr>
        <sz val="11"/>
        <color rgb="FFD2D2D2"/>
        <rFont val="Aptos Narrow"/>
        <family val="2"/>
        <scheme val="minor"/>
      </rPr>
      <t>= "Bird"</t>
    </r>
  </si>
  <si>
    <r>
      <t>bluetooth </t>
    </r>
    <r>
      <rPr>
        <sz val="11"/>
        <color rgb="FFD2D2D2"/>
        <rFont val="Aptos Narrow"/>
        <family val="2"/>
        <scheme val="minor"/>
      </rPr>
      <t>= "Bluetooth"</t>
    </r>
  </si>
  <si>
    <r>
      <t>board </t>
    </r>
    <r>
      <rPr>
        <sz val="11"/>
        <color rgb="FFD2D2D2"/>
        <rFont val="Aptos Narrow"/>
        <family val="2"/>
        <scheme val="minor"/>
      </rPr>
      <t>= "Board"</t>
    </r>
  </si>
  <si>
    <r>
      <t>boardGames </t>
    </r>
    <r>
      <rPr>
        <sz val="11"/>
        <color rgb="FFD2D2D2"/>
        <rFont val="Aptos Narrow"/>
        <family val="2"/>
        <scheme val="minor"/>
      </rPr>
      <t>= "BoardGames"</t>
    </r>
  </si>
  <si>
    <r>
      <t>book </t>
    </r>
    <r>
      <rPr>
        <sz val="11"/>
        <color rgb="FFD2D2D2"/>
        <rFont val="Aptos Narrow"/>
        <family val="2"/>
        <scheme val="minor"/>
      </rPr>
      <t>= "Book"</t>
    </r>
  </si>
  <si>
    <r>
      <t>bookmark </t>
    </r>
    <r>
      <rPr>
        <sz val="11"/>
        <color rgb="FFD2D2D2"/>
        <rFont val="Aptos Narrow"/>
        <family val="2"/>
        <scheme val="minor"/>
      </rPr>
      <t>= "Bookmark"</t>
    </r>
  </si>
  <si>
    <r>
      <t>bookmarkMultiple </t>
    </r>
    <r>
      <rPr>
        <sz val="11"/>
        <color rgb="FFD2D2D2"/>
        <rFont val="Aptos Narrow"/>
        <family val="2"/>
        <scheme val="minor"/>
      </rPr>
      <t>= "BookmarkMultiple"</t>
    </r>
  </si>
  <si>
    <r>
      <t>bot </t>
    </r>
    <r>
      <rPr>
        <sz val="11"/>
        <color rgb="FFD2D2D2"/>
        <rFont val="Aptos Narrow"/>
        <family val="2"/>
        <scheme val="minor"/>
      </rPr>
      <t>= "Bot"</t>
    </r>
  </si>
  <si>
    <r>
      <t>bowlChopsticks </t>
    </r>
    <r>
      <rPr>
        <sz val="11"/>
        <color rgb="FFD2D2D2"/>
        <rFont val="Aptos Narrow"/>
        <family val="2"/>
        <scheme val="minor"/>
      </rPr>
      <t>= "BowlChopsticks"</t>
    </r>
  </si>
  <si>
    <r>
      <t>box </t>
    </r>
    <r>
      <rPr>
        <sz val="11"/>
        <color rgb="FFD2D2D2"/>
        <rFont val="Aptos Narrow"/>
        <family val="2"/>
        <scheme val="minor"/>
      </rPr>
      <t>= "Box"</t>
    </r>
  </si>
  <si>
    <r>
      <t>boxMultiple </t>
    </r>
    <r>
      <rPr>
        <sz val="11"/>
        <color rgb="FFD2D2D2"/>
        <rFont val="Aptos Narrow"/>
        <family val="2"/>
        <scheme val="minor"/>
      </rPr>
      <t>= "BoxMultiple"</t>
    </r>
  </si>
  <si>
    <r>
      <t>brainCircuit </t>
    </r>
    <r>
      <rPr>
        <sz val="11"/>
        <color rgb="FFD2D2D2"/>
        <rFont val="Aptos Narrow"/>
        <family val="2"/>
        <scheme val="minor"/>
      </rPr>
      <t>= "BrainCircuit"</t>
    </r>
  </si>
  <si>
    <r>
      <t>branch </t>
    </r>
    <r>
      <rPr>
        <sz val="11"/>
        <color rgb="FFD2D2D2"/>
        <rFont val="Aptos Narrow"/>
        <family val="2"/>
        <scheme val="minor"/>
      </rPr>
      <t>= "Branch"</t>
    </r>
  </si>
  <si>
    <r>
      <t>branchFork </t>
    </r>
    <r>
      <rPr>
        <sz val="11"/>
        <color rgb="FFD2D2D2"/>
        <rFont val="Aptos Narrow"/>
        <family val="2"/>
        <scheme val="minor"/>
      </rPr>
      <t>= "BranchFork"</t>
    </r>
  </si>
  <si>
    <r>
      <t>branchRequest </t>
    </r>
    <r>
      <rPr>
        <sz val="11"/>
        <color rgb="FFD2D2D2"/>
        <rFont val="Aptos Narrow"/>
        <family val="2"/>
        <scheme val="minor"/>
      </rPr>
      <t>= "BranchRequest"</t>
    </r>
  </si>
  <si>
    <r>
      <t>bridge </t>
    </r>
    <r>
      <rPr>
        <sz val="11"/>
        <color rgb="FFD2D2D2"/>
        <rFont val="Aptos Narrow"/>
        <family val="2"/>
        <scheme val="minor"/>
      </rPr>
      <t>= "Bridge"</t>
    </r>
  </si>
  <si>
    <r>
      <t>briefcase </t>
    </r>
    <r>
      <rPr>
        <sz val="11"/>
        <color rgb="FFD2D2D2"/>
        <rFont val="Aptos Narrow"/>
        <family val="2"/>
        <scheme val="minor"/>
      </rPr>
      <t>= "Briefcase"</t>
    </r>
  </si>
  <si>
    <r>
      <t>briefcaseMedical </t>
    </r>
    <r>
      <rPr>
        <sz val="11"/>
        <color rgb="FFD2D2D2"/>
        <rFont val="Aptos Narrow"/>
        <family val="2"/>
        <scheme val="minor"/>
      </rPr>
      <t>= "BriefcaseMedical"</t>
    </r>
  </si>
  <si>
    <r>
      <t>broadActivityFeed </t>
    </r>
    <r>
      <rPr>
        <sz val="11"/>
        <color rgb="FFD2D2D2"/>
        <rFont val="Aptos Narrow"/>
        <family val="2"/>
        <scheme val="minor"/>
      </rPr>
      <t>= "BroadActivityFeed"</t>
    </r>
  </si>
  <si>
    <r>
      <t>broom </t>
    </r>
    <r>
      <rPr>
        <sz val="11"/>
        <color rgb="FFD2D2D2"/>
        <rFont val="Aptos Narrow"/>
        <family val="2"/>
        <scheme val="minor"/>
      </rPr>
      <t>= "Broom"</t>
    </r>
  </si>
  <si>
    <r>
      <t>bug </t>
    </r>
    <r>
      <rPr>
        <sz val="11"/>
        <color rgb="FFD2D2D2"/>
        <rFont val="Aptos Narrow"/>
        <family val="2"/>
        <scheme val="minor"/>
      </rPr>
      <t>= "Bug"</t>
    </r>
  </si>
  <si>
    <r>
      <t>building </t>
    </r>
    <r>
      <rPr>
        <sz val="11"/>
        <color rgb="FFD2D2D2"/>
        <rFont val="Aptos Narrow"/>
        <family val="2"/>
        <scheme val="minor"/>
      </rPr>
      <t>= "Building"</t>
    </r>
  </si>
  <si>
    <r>
      <t>buildingBank </t>
    </r>
    <r>
      <rPr>
        <sz val="11"/>
        <color rgb="FFD2D2D2"/>
        <rFont val="Aptos Narrow"/>
        <family val="2"/>
        <scheme val="minor"/>
      </rPr>
      <t>= "BuildingBank"</t>
    </r>
  </si>
  <si>
    <r>
      <t>buildingFactory </t>
    </r>
    <r>
      <rPr>
        <sz val="11"/>
        <color rgb="FFD2D2D2"/>
        <rFont val="Aptos Narrow"/>
        <family val="2"/>
        <scheme val="minor"/>
      </rPr>
      <t>= "BuildingFactory"</t>
    </r>
  </si>
  <si>
    <r>
      <t>buildingGovernment </t>
    </r>
    <r>
      <rPr>
        <sz val="11"/>
        <color rgb="FFD2D2D2"/>
        <rFont val="Aptos Narrow"/>
        <family val="2"/>
        <scheme val="minor"/>
      </rPr>
      <t>= "BuildingGovernment"</t>
    </r>
  </si>
  <si>
    <r>
      <t>buildingHome </t>
    </r>
    <r>
      <rPr>
        <sz val="11"/>
        <color rgb="FFD2D2D2"/>
        <rFont val="Aptos Narrow"/>
        <family val="2"/>
        <scheme val="minor"/>
      </rPr>
      <t>= "BuildingHome"</t>
    </r>
  </si>
  <si>
    <r>
      <t>buildingLighthouse </t>
    </r>
    <r>
      <rPr>
        <sz val="11"/>
        <color rgb="FFD2D2D2"/>
        <rFont val="Aptos Narrow"/>
        <family val="2"/>
        <scheme val="minor"/>
      </rPr>
      <t>= "BuildingLighthouse"</t>
    </r>
  </si>
  <si>
    <r>
      <t>buildingMultiple </t>
    </r>
    <r>
      <rPr>
        <sz val="11"/>
        <color rgb="FFD2D2D2"/>
        <rFont val="Aptos Narrow"/>
        <family val="2"/>
        <scheme val="minor"/>
      </rPr>
      <t>= "BuildingMultiple"</t>
    </r>
  </si>
  <si>
    <r>
      <t>buildingRetail </t>
    </r>
    <r>
      <rPr>
        <sz val="11"/>
        <color rgb="FFD2D2D2"/>
        <rFont val="Aptos Narrow"/>
        <family val="2"/>
        <scheme val="minor"/>
      </rPr>
      <t>= "BuildingRetail"</t>
    </r>
  </si>
  <si>
    <r>
      <t>buildingRetailMore </t>
    </r>
    <r>
      <rPr>
        <sz val="11"/>
        <color rgb="FFD2D2D2"/>
        <rFont val="Aptos Narrow"/>
        <family val="2"/>
        <scheme val="minor"/>
      </rPr>
      <t>= "BuildingRetailMore"</t>
    </r>
  </si>
  <si>
    <r>
      <t>buildingRetailToolbox </t>
    </r>
    <r>
      <rPr>
        <sz val="11"/>
        <color rgb="FFD2D2D2"/>
        <rFont val="Aptos Narrow"/>
        <family val="2"/>
        <scheme val="minor"/>
      </rPr>
      <t>= "BuildingRetailToolbox"</t>
    </r>
  </si>
  <si>
    <r>
      <t>buildingShop </t>
    </r>
    <r>
      <rPr>
        <sz val="11"/>
        <color rgb="FFD2D2D2"/>
        <rFont val="Aptos Narrow"/>
        <family val="2"/>
        <scheme val="minor"/>
      </rPr>
      <t>= "BuildingShop"</t>
    </r>
  </si>
  <si>
    <r>
      <t>buildingSkyscraper </t>
    </r>
    <r>
      <rPr>
        <sz val="11"/>
        <color rgb="FFD2D2D2"/>
        <rFont val="Aptos Narrow"/>
        <family val="2"/>
        <scheme val="minor"/>
      </rPr>
      <t>= "BuildingSkyscraper"</t>
    </r>
  </si>
  <si>
    <r>
      <t>calculator </t>
    </r>
    <r>
      <rPr>
        <sz val="11"/>
        <color rgb="FFD2D2D2"/>
        <rFont val="Aptos Narrow"/>
        <family val="2"/>
        <scheme val="minor"/>
      </rPr>
      <t>= "Calculator"</t>
    </r>
  </si>
  <si>
    <r>
      <t>calendarLtr </t>
    </r>
    <r>
      <rPr>
        <sz val="11"/>
        <color rgb="FFD2D2D2"/>
        <rFont val="Aptos Narrow"/>
        <family val="2"/>
        <scheme val="minor"/>
      </rPr>
      <t>= "CalendarLtr"</t>
    </r>
  </si>
  <si>
    <r>
      <t>calendarRtl </t>
    </r>
    <r>
      <rPr>
        <sz val="11"/>
        <color rgb="FFD2D2D2"/>
        <rFont val="Aptos Narrow"/>
        <family val="2"/>
        <scheme val="minor"/>
      </rPr>
      <t>= "CalendarRtl"</t>
    </r>
  </si>
  <si>
    <r>
      <t>call </t>
    </r>
    <r>
      <rPr>
        <sz val="11"/>
        <color rgb="FFD2D2D2"/>
        <rFont val="Aptos Narrow"/>
        <family val="2"/>
        <scheme val="minor"/>
      </rPr>
      <t>= "Call"</t>
    </r>
  </si>
  <si>
    <r>
      <t>calligraphyPen </t>
    </r>
    <r>
      <rPr>
        <sz val="11"/>
        <color rgb="FFD2D2D2"/>
        <rFont val="Aptos Narrow"/>
        <family val="2"/>
        <scheme val="minor"/>
      </rPr>
      <t>= "CalligraphyPen"</t>
    </r>
  </si>
  <si>
    <r>
      <t>camera </t>
    </r>
    <r>
      <rPr>
        <sz val="11"/>
        <color rgb="FFD2D2D2"/>
        <rFont val="Aptos Narrow"/>
        <family val="2"/>
        <scheme val="minor"/>
      </rPr>
      <t>= "Camera"</t>
    </r>
  </si>
  <si>
    <r>
      <t>cameraDome </t>
    </r>
    <r>
      <rPr>
        <sz val="11"/>
        <color rgb="FFD2D2D2"/>
        <rFont val="Aptos Narrow"/>
        <family val="2"/>
        <scheme val="minor"/>
      </rPr>
      <t>= "CameraDome"</t>
    </r>
  </si>
  <si>
    <r>
      <t>car </t>
    </r>
    <r>
      <rPr>
        <sz val="11"/>
        <color rgb="FFD2D2D2"/>
        <rFont val="Aptos Narrow"/>
        <family val="2"/>
        <scheme val="minor"/>
      </rPr>
      <t>= "Car"</t>
    </r>
  </si>
  <si>
    <r>
      <t>cart </t>
    </r>
    <r>
      <rPr>
        <sz val="11"/>
        <color rgb="FFD2D2D2"/>
        <rFont val="Aptos Narrow"/>
        <family val="2"/>
        <scheme val="minor"/>
      </rPr>
      <t>= "Cart"</t>
    </r>
  </si>
  <si>
    <r>
      <t>cat </t>
    </r>
    <r>
      <rPr>
        <sz val="11"/>
        <color rgb="FFD2D2D2"/>
        <rFont val="Aptos Narrow"/>
        <family val="2"/>
        <scheme val="minor"/>
      </rPr>
      <t>= "Cat"</t>
    </r>
  </si>
  <si>
    <r>
      <t>certificate </t>
    </r>
    <r>
      <rPr>
        <sz val="11"/>
        <color rgb="FFD2D2D2"/>
        <rFont val="Aptos Narrow"/>
        <family val="2"/>
        <scheme val="minor"/>
      </rPr>
      <t>= "Certificate"</t>
    </r>
  </si>
  <si>
    <r>
      <t>chartMultiple </t>
    </r>
    <r>
      <rPr>
        <sz val="11"/>
        <color rgb="FFD2D2D2"/>
        <rFont val="Aptos Narrow"/>
        <family val="2"/>
        <scheme val="minor"/>
      </rPr>
      <t>= "ChartMultiple"</t>
    </r>
  </si>
  <si>
    <r>
      <t>chat </t>
    </r>
    <r>
      <rPr>
        <sz val="11"/>
        <color rgb="FFD2D2D2"/>
        <rFont val="Aptos Narrow"/>
        <family val="2"/>
        <scheme val="minor"/>
      </rPr>
      <t>= "Chat"</t>
    </r>
  </si>
  <si>
    <r>
      <t>chatMultiple </t>
    </r>
    <r>
      <rPr>
        <sz val="11"/>
        <color rgb="FFD2D2D2"/>
        <rFont val="Aptos Narrow"/>
        <family val="2"/>
        <scheme val="minor"/>
      </rPr>
      <t>= "ChatMultiple"</t>
    </r>
  </si>
  <si>
    <r>
      <t>chatVideo </t>
    </r>
    <r>
      <rPr>
        <sz val="11"/>
        <color rgb="FFD2D2D2"/>
        <rFont val="Aptos Narrow"/>
        <family val="2"/>
        <scheme val="minor"/>
      </rPr>
      <t>= "ChatVideo"</t>
    </r>
  </si>
  <si>
    <r>
      <t>check </t>
    </r>
    <r>
      <rPr>
        <sz val="11"/>
        <color rgb="FFD2D2D2"/>
        <rFont val="Aptos Narrow"/>
        <family val="2"/>
        <scheme val="minor"/>
      </rPr>
      <t>= "Check"</t>
    </r>
  </si>
  <si>
    <r>
      <t>checkboxChecked </t>
    </r>
    <r>
      <rPr>
        <sz val="11"/>
        <color rgb="FFD2D2D2"/>
        <rFont val="Aptos Narrow"/>
        <family val="2"/>
        <scheme val="minor"/>
      </rPr>
      <t>= "CheckboxChecked"</t>
    </r>
  </si>
  <si>
    <r>
      <t>checkboxUnchecked </t>
    </r>
    <r>
      <rPr>
        <sz val="11"/>
        <color rgb="FFD2D2D2"/>
        <rFont val="Aptos Narrow"/>
        <family val="2"/>
        <scheme val="minor"/>
      </rPr>
      <t>= "CheckboxUnchecked"</t>
    </r>
  </si>
  <si>
    <r>
      <t>checkmark </t>
    </r>
    <r>
      <rPr>
        <sz val="11"/>
        <color rgb="FFD2D2D2"/>
        <rFont val="Aptos Narrow"/>
        <family val="2"/>
        <scheme val="minor"/>
      </rPr>
      <t>= "Checkmark"</t>
    </r>
  </si>
  <si>
    <r>
      <t>chess </t>
    </r>
    <r>
      <rPr>
        <sz val="11"/>
        <color rgb="FFD2D2D2"/>
        <rFont val="Aptos Narrow"/>
        <family val="2"/>
        <scheme val="minor"/>
      </rPr>
      <t>= "Chess"</t>
    </r>
  </si>
  <si>
    <r>
      <t>city </t>
    </r>
    <r>
      <rPr>
        <sz val="11"/>
        <color rgb="FFD2D2D2"/>
        <rFont val="Aptos Narrow"/>
        <family val="2"/>
        <scheme val="minor"/>
      </rPr>
      <t>= "City"</t>
    </r>
  </si>
  <si>
    <r>
      <t>class </t>
    </r>
    <r>
      <rPr>
        <sz val="11"/>
        <color rgb="FFD2D2D2"/>
        <rFont val="Aptos Narrow"/>
        <family val="2"/>
        <scheme val="minor"/>
      </rPr>
      <t>= "Class"</t>
    </r>
  </si>
  <si>
    <r>
      <t>classification </t>
    </r>
    <r>
      <rPr>
        <sz val="11"/>
        <color rgb="FFD2D2D2"/>
        <rFont val="Aptos Narrow"/>
        <family val="2"/>
        <scheme val="minor"/>
      </rPr>
      <t>= "Classification"</t>
    </r>
  </si>
  <si>
    <r>
      <t>clipboard </t>
    </r>
    <r>
      <rPr>
        <sz val="11"/>
        <color rgb="FFD2D2D2"/>
        <rFont val="Aptos Narrow"/>
        <family val="2"/>
        <scheme val="minor"/>
      </rPr>
      <t>= "Clipboard"</t>
    </r>
  </si>
  <si>
    <r>
      <t>clipboardDataBar </t>
    </r>
    <r>
      <rPr>
        <sz val="11"/>
        <color rgb="FFD2D2D2"/>
        <rFont val="Aptos Narrow"/>
        <family val="2"/>
        <scheme val="minor"/>
      </rPr>
      <t>= "ClipboardDataBar"</t>
    </r>
  </si>
  <si>
    <r>
      <t>clipboardPulse </t>
    </r>
    <r>
      <rPr>
        <sz val="11"/>
        <color rgb="FFD2D2D2"/>
        <rFont val="Aptos Narrow"/>
        <family val="2"/>
        <scheme val="minor"/>
      </rPr>
      <t>= "ClipboardPulse"</t>
    </r>
  </si>
  <si>
    <r>
      <t>clipboardTask </t>
    </r>
    <r>
      <rPr>
        <sz val="11"/>
        <color rgb="FFD2D2D2"/>
        <rFont val="Aptos Narrow"/>
        <family val="2"/>
        <scheme val="minor"/>
      </rPr>
      <t>= "ClipboardTask"</t>
    </r>
  </si>
  <si>
    <r>
      <t>clock </t>
    </r>
    <r>
      <rPr>
        <sz val="11"/>
        <color rgb="FFD2D2D2"/>
        <rFont val="Aptos Narrow"/>
        <family val="2"/>
        <scheme val="minor"/>
      </rPr>
      <t>= "Clock"</t>
    </r>
  </si>
  <si>
    <r>
      <t>clockAlarm </t>
    </r>
    <r>
      <rPr>
        <sz val="11"/>
        <color rgb="FFD2D2D2"/>
        <rFont val="Aptos Narrow"/>
        <family val="2"/>
        <scheme val="minor"/>
      </rPr>
      <t>= "ClockAlarm"</t>
    </r>
  </si>
  <si>
    <r>
      <t>cloud </t>
    </r>
    <r>
      <rPr>
        <sz val="11"/>
        <color rgb="FFD2D2D2"/>
        <rFont val="Aptos Narrow"/>
        <family val="2"/>
        <scheme val="minor"/>
      </rPr>
      <t>= "Cloud"</t>
    </r>
  </si>
  <si>
    <r>
      <t>cloudWords </t>
    </r>
    <r>
      <rPr>
        <sz val="11"/>
        <color rgb="FFD2D2D2"/>
        <rFont val="Aptos Narrow"/>
        <family val="2"/>
        <scheme val="minor"/>
      </rPr>
      <t>= "CloudWords"</t>
    </r>
  </si>
  <si>
    <r>
      <t>code </t>
    </r>
    <r>
      <rPr>
        <sz val="11"/>
        <color rgb="FFD2D2D2"/>
        <rFont val="Aptos Narrow"/>
        <family val="2"/>
        <scheme val="minor"/>
      </rPr>
      <t>= "Code"</t>
    </r>
  </si>
  <si>
    <r>
      <t>collections </t>
    </r>
    <r>
      <rPr>
        <sz val="11"/>
        <color rgb="FFD2D2D2"/>
        <rFont val="Aptos Narrow"/>
        <family val="2"/>
        <scheme val="minor"/>
      </rPr>
      <t>= "Collections"</t>
    </r>
  </si>
  <si>
    <r>
      <t>comment </t>
    </r>
    <r>
      <rPr>
        <sz val="11"/>
        <color rgb="FFD2D2D2"/>
        <rFont val="Aptos Narrow"/>
        <family val="2"/>
        <scheme val="minor"/>
      </rPr>
      <t>= "Comment"</t>
    </r>
  </si>
  <si>
    <r>
      <t>commentMultiple </t>
    </r>
    <r>
      <rPr>
        <sz val="11"/>
        <color rgb="FFD2D2D2"/>
        <rFont val="Aptos Narrow"/>
        <family val="2"/>
        <scheme val="minor"/>
      </rPr>
      <t>= "CommentMultiple"</t>
    </r>
  </si>
  <si>
    <r>
      <t>communication </t>
    </r>
    <r>
      <rPr>
        <sz val="11"/>
        <color rgb="FFD2D2D2"/>
        <rFont val="Aptos Narrow"/>
        <family val="2"/>
        <scheme val="minor"/>
      </rPr>
      <t>= "Communication"</t>
    </r>
  </si>
  <si>
    <r>
      <t>compassNorthwest </t>
    </r>
    <r>
      <rPr>
        <sz val="11"/>
        <color rgb="FFD2D2D2"/>
        <rFont val="Aptos Narrow"/>
        <family val="2"/>
        <scheme val="minor"/>
      </rPr>
      <t>= "CompassNorthwest"</t>
    </r>
  </si>
  <si>
    <r>
      <t>conferenceRoom </t>
    </r>
    <r>
      <rPr>
        <sz val="11"/>
        <color rgb="FFD2D2D2"/>
        <rFont val="Aptos Narrow"/>
        <family val="2"/>
        <scheme val="minor"/>
      </rPr>
      <t>= "ConferenceRoom"</t>
    </r>
  </si>
  <si>
    <r>
      <t>connector </t>
    </r>
    <r>
      <rPr>
        <sz val="11"/>
        <color rgb="FFD2D2D2"/>
        <rFont val="Aptos Narrow"/>
        <family val="2"/>
        <scheme val="minor"/>
      </rPr>
      <t>= "Connector"</t>
    </r>
  </si>
  <si>
    <r>
      <t>constellation </t>
    </r>
    <r>
      <rPr>
        <sz val="11"/>
        <color rgb="FFD2D2D2"/>
        <rFont val="Aptos Narrow"/>
        <family val="2"/>
        <scheme val="minor"/>
      </rPr>
      <t>= "Constellation"</t>
    </r>
  </si>
  <si>
    <r>
      <t>contactCard </t>
    </r>
    <r>
      <rPr>
        <sz val="11"/>
        <color rgb="FFD2D2D2"/>
        <rFont val="Aptos Narrow"/>
        <family val="2"/>
        <scheme val="minor"/>
      </rPr>
      <t>= "ContactCard"</t>
    </r>
  </si>
  <si>
    <r>
      <t>cookies </t>
    </r>
    <r>
      <rPr>
        <sz val="11"/>
        <color rgb="FFD2D2D2"/>
        <rFont val="Aptos Narrow"/>
        <family val="2"/>
        <scheme val="minor"/>
      </rPr>
      <t>= "Cookies"</t>
    </r>
  </si>
  <si>
    <r>
      <t>couch </t>
    </r>
    <r>
      <rPr>
        <sz val="11"/>
        <color rgb="FFD2D2D2"/>
        <rFont val="Aptos Narrow"/>
        <family val="2"/>
        <scheme val="minor"/>
      </rPr>
      <t>= "Couch"</t>
    </r>
  </si>
  <si>
    <r>
      <t>creditCardPerson </t>
    </r>
    <r>
      <rPr>
        <sz val="11"/>
        <color rgb="FFD2D2D2"/>
        <rFont val="Aptos Narrow"/>
        <family val="2"/>
        <scheme val="minor"/>
      </rPr>
      <t>= "CreditCardPerson"</t>
    </r>
  </si>
  <si>
    <r>
      <t>creditCardToolbox </t>
    </r>
    <r>
      <rPr>
        <sz val="11"/>
        <color rgb="FFD2D2D2"/>
        <rFont val="Aptos Narrow"/>
        <family val="2"/>
        <scheme val="minor"/>
      </rPr>
      <t>= "CreditCardToolbox"</t>
    </r>
  </si>
  <si>
    <r>
      <t>cube </t>
    </r>
    <r>
      <rPr>
        <sz val="11"/>
        <color rgb="FFD2D2D2"/>
        <rFont val="Aptos Narrow"/>
        <family val="2"/>
        <scheme val="minor"/>
      </rPr>
      <t>= "Cube"</t>
    </r>
  </si>
  <si>
    <r>
      <t>cubeMultiple </t>
    </r>
    <r>
      <rPr>
        <sz val="11"/>
        <color rgb="FFD2D2D2"/>
        <rFont val="Aptos Narrow"/>
        <family val="2"/>
        <scheme val="minor"/>
      </rPr>
      <t>= "CubeMultiple"</t>
    </r>
  </si>
  <si>
    <r>
      <t>cubeTree </t>
    </r>
    <r>
      <rPr>
        <sz val="11"/>
        <color rgb="FFD2D2D2"/>
        <rFont val="Aptos Narrow"/>
        <family val="2"/>
        <scheme val="minor"/>
      </rPr>
      <t>= "CubeTree"</t>
    </r>
  </si>
  <si>
    <r>
      <t>currencyDollarEuro </t>
    </r>
    <r>
      <rPr>
        <sz val="11"/>
        <color rgb="FFD2D2D2"/>
        <rFont val="Aptos Narrow"/>
        <family val="2"/>
        <scheme val="minor"/>
      </rPr>
      <t>= "CurrencyDollarEuro"</t>
    </r>
  </si>
  <si>
    <r>
      <t>currencyDollarRupee </t>
    </r>
    <r>
      <rPr>
        <sz val="11"/>
        <color rgb="FFD2D2D2"/>
        <rFont val="Aptos Narrow"/>
        <family val="2"/>
        <scheme val="minor"/>
      </rPr>
      <t>= "CurrencyDollarRupee"</t>
    </r>
  </si>
  <si>
    <r>
      <t>dataArea </t>
    </r>
    <r>
      <rPr>
        <sz val="11"/>
        <color rgb="FFD2D2D2"/>
        <rFont val="Aptos Narrow"/>
        <family val="2"/>
        <scheme val="minor"/>
      </rPr>
      <t>= "DataArea"</t>
    </r>
  </si>
  <si>
    <r>
      <t>database </t>
    </r>
    <r>
      <rPr>
        <sz val="11"/>
        <color rgb="FFD2D2D2"/>
        <rFont val="Aptos Narrow"/>
        <family val="2"/>
        <scheme val="minor"/>
      </rPr>
      <t>= "Database"</t>
    </r>
  </si>
  <si>
    <r>
      <t>databaseMultiple </t>
    </r>
    <r>
      <rPr>
        <sz val="11"/>
        <color rgb="FFD2D2D2"/>
        <rFont val="Aptos Narrow"/>
        <family val="2"/>
        <scheme val="minor"/>
      </rPr>
      <t>= "DatabaseMultiple"</t>
    </r>
  </si>
  <si>
    <r>
      <t>dataFunnel </t>
    </r>
    <r>
      <rPr>
        <sz val="11"/>
        <color rgb="FFD2D2D2"/>
        <rFont val="Aptos Narrow"/>
        <family val="2"/>
        <scheme val="minor"/>
      </rPr>
      <t>= "DataFunnel"</t>
    </r>
  </si>
  <si>
    <r>
      <t>dataHistogram </t>
    </r>
    <r>
      <rPr>
        <sz val="11"/>
        <color rgb="FFD2D2D2"/>
        <rFont val="Aptos Narrow"/>
        <family val="2"/>
        <scheme val="minor"/>
      </rPr>
      <t>= "DataHistogram"</t>
    </r>
  </si>
  <si>
    <r>
      <t>dataLine </t>
    </r>
    <r>
      <rPr>
        <sz val="11"/>
        <color rgb="FFD2D2D2"/>
        <rFont val="Aptos Narrow"/>
        <family val="2"/>
        <scheme val="minor"/>
      </rPr>
      <t>= "DataLine"</t>
    </r>
  </si>
  <si>
    <r>
      <t>dataPie </t>
    </r>
    <r>
      <rPr>
        <sz val="11"/>
        <color rgb="FFD2D2D2"/>
        <rFont val="Aptos Narrow"/>
        <family val="2"/>
        <scheme val="minor"/>
      </rPr>
      <t>= "DataPie"</t>
    </r>
  </si>
  <si>
    <r>
      <t>dataScatter </t>
    </r>
    <r>
      <rPr>
        <sz val="11"/>
        <color rgb="FFD2D2D2"/>
        <rFont val="Aptos Narrow"/>
        <family val="2"/>
        <scheme val="minor"/>
      </rPr>
      <t>= "DataScatter"</t>
    </r>
  </si>
  <si>
    <r>
      <t>dataSunburst </t>
    </r>
    <r>
      <rPr>
        <sz val="11"/>
        <color rgb="FFD2D2D2"/>
        <rFont val="Aptos Narrow"/>
        <family val="2"/>
        <scheme val="minor"/>
      </rPr>
      <t>= "DataSunburst"</t>
    </r>
  </si>
  <si>
    <r>
      <t>dataTreemap </t>
    </r>
    <r>
      <rPr>
        <sz val="11"/>
        <color rgb="FFD2D2D2"/>
        <rFont val="Aptos Narrow"/>
        <family val="2"/>
        <scheme val="minor"/>
      </rPr>
      <t>= "DataTreemap"</t>
    </r>
  </si>
  <si>
    <r>
      <t>dataWaterfall </t>
    </r>
    <r>
      <rPr>
        <sz val="11"/>
        <color rgb="FFD2D2D2"/>
        <rFont val="Aptos Narrow"/>
        <family val="2"/>
        <scheme val="minor"/>
      </rPr>
      <t>= "DataWaterfall"</t>
    </r>
  </si>
  <si>
    <r>
      <t>dataWhisker </t>
    </r>
    <r>
      <rPr>
        <sz val="11"/>
        <color rgb="FFD2D2D2"/>
        <rFont val="Aptos Narrow"/>
        <family val="2"/>
        <scheme val="minor"/>
      </rPr>
      <t>= "DataWhisker"</t>
    </r>
  </si>
  <si>
    <r>
      <t>dentist </t>
    </r>
    <r>
      <rPr>
        <sz val="11"/>
        <color rgb="FFD2D2D2"/>
        <rFont val="Aptos Narrow"/>
        <family val="2"/>
        <scheme val="minor"/>
      </rPr>
      <t>= "Dentist"</t>
    </r>
  </si>
  <si>
    <r>
      <t>designIdeas </t>
    </r>
    <r>
      <rPr>
        <sz val="11"/>
        <color rgb="FFD2D2D2"/>
        <rFont val="Aptos Narrow"/>
        <family val="2"/>
        <scheme val="minor"/>
      </rPr>
      <t>= "DesignIdeas"</t>
    </r>
  </si>
  <si>
    <r>
      <t>desktop </t>
    </r>
    <r>
      <rPr>
        <sz val="11"/>
        <color rgb="FFD2D2D2"/>
        <rFont val="Aptos Narrow"/>
        <family val="2"/>
        <scheme val="minor"/>
      </rPr>
      <t>= "Desktop"</t>
    </r>
  </si>
  <si>
    <r>
      <t>desktopMac </t>
    </r>
    <r>
      <rPr>
        <sz val="11"/>
        <color rgb="FFD2D2D2"/>
        <rFont val="Aptos Narrow"/>
        <family val="2"/>
        <scheme val="minor"/>
      </rPr>
      <t>= "DesktopMac"</t>
    </r>
  </si>
  <si>
    <r>
      <t>developerBoard </t>
    </r>
    <r>
      <rPr>
        <sz val="11"/>
        <color rgb="FFD2D2D2"/>
        <rFont val="Aptos Narrow"/>
        <family val="2"/>
        <scheme val="minor"/>
      </rPr>
      <t>= "DeveloperBoard"</t>
    </r>
  </si>
  <si>
    <r>
      <t>deviceMeetingRoom </t>
    </r>
    <r>
      <rPr>
        <sz val="11"/>
        <color rgb="FFD2D2D2"/>
        <rFont val="Aptos Narrow"/>
        <family val="2"/>
        <scheme val="minor"/>
      </rPr>
      <t>= "DeviceMeetingRoom"</t>
    </r>
  </si>
  <si>
    <r>
      <t>diagram </t>
    </r>
    <r>
      <rPr>
        <sz val="11"/>
        <color rgb="FFD2D2D2"/>
        <rFont val="Aptos Narrow"/>
        <family val="2"/>
        <scheme val="minor"/>
      </rPr>
      <t>= "Diagram"</t>
    </r>
  </si>
  <si>
    <r>
      <t>dialpad </t>
    </r>
    <r>
      <rPr>
        <sz val="11"/>
        <color rgb="FFD2D2D2"/>
        <rFont val="Aptos Narrow"/>
        <family val="2"/>
        <scheme val="minor"/>
      </rPr>
      <t>= "Dialpad"</t>
    </r>
  </si>
  <si>
    <r>
      <t>diamond </t>
    </r>
    <r>
      <rPr>
        <sz val="11"/>
        <color rgb="FFD2D2D2"/>
        <rFont val="Aptos Narrow"/>
        <family val="2"/>
        <scheme val="minor"/>
      </rPr>
      <t>= "Diamond"</t>
    </r>
  </si>
  <si>
    <r>
      <t>dinosaur </t>
    </r>
    <r>
      <rPr>
        <sz val="11"/>
        <color rgb="FFD2D2D2"/>
        <rFont val="Aptos Narrow"/>
        <family val="2"/>
        <scheme val="minor"/>
      </rPr>
      <t>= "Dinosaur"</t>
    </r>
  </si>
  <si>
    <r>
      <t>directions </t>
    </r>
    <r>
      <rPr>
        <sz val="11"/>
        <color rgb="FFD2D2D2"/>
        <rFont val="Aptos Narrow"/>
        <family val="2"/>
        <scheme val="minor"/>
      </rPr>
      <t>= "Directions"</t>
    </r>
  </si>
  <si>
    <r>
      <t>disaster </t>
    </r>
    <r>
      <rPr>
        <sz val="11"/>
        <color rgb="FFD2D2D2"/>
        <rFont val="Aptos Narrow"/>
        <family val="2"/>
        <scheme val="minor"/>
      </rPr>
      <t>= "Disaster"</t>
    </r>
  </si>
  <si>
    <r>
      <t>diversity </t>
    </r>
    <r>
      <rPr>
        <sz val="11"/>
        <color rgb="FFD2D2D2"/>
        <rFont val="Aptos Narrow"/>
        <family val="2"/>
        <scheme val="minor"/>
      </rPr>
      <t>= "Diversity"</t>
    </r>
  </si>
  <si>
    <r>
      <t>dNA </t>
    </r>
    <r>
      <rPr>
        <sz val="11"/>
        <color rgb="FFD2D2D2"/>
        <rFont val="Aptos Narrow"/>
        <family val="2"/>
        <scheme val="minor"/>
      </rPr>
      <t>= "DNA"</t>
    </r>
  </si>
  <si>
    <r>
      <t>doctor </t>
    </r>
    <r>
      <rPr>
        <sz val="11"/>
        <color rgb="FFD2D2D2"/>
        <rFont val="Aptos Narrow"/>
        <family val="2"/>
        <scheme val="minor"/>
      </rPr>
      <t>= "Doctor"</t>
    </r>
  </si>
  <si>
    <r>
      <t>document </t>
    </r>
    <r>
      <rPr>
        <sz val="11"/>
        <color rgb="FFD2D2D2"/>
        <rFont val="Aptos Narrow"/>
        <family val="2"/>
        <scheme val="minor"/>
      </rPr>
      <t>= "Document"</t>
    </r>
  </si>
  <si>
    <r>
      <t>documentData </t>
    </r>
    <r>
      <rPr>
        <sz val="11"/>
        <color rgb="FFD2D2D2"/>
        <rFont val="Aptos Narrow"/>
        <family val="2"/>
        <scheme val="minor"/>
      </rPr>
      <t>= "DocumentData"</t>
    </r>
  </si>
  <si>
    <r>
      <t>documentLandscape </t>
    </r>
    <r>
      <rPr>
        <sz val="11"/>
        <color rgb="FFD2D2D2"/>
        <rFont val="Aptos Narrow"/>
        <family val="2"/>
        <scheme val="minor"/>
      </rPr>
      <t>= "DocumentLandscape"</t>
    </r>
  </si>
  <si>
    <r>
      <t>documentMultiple </t>
    </r>
    <r>
      <rPr>
        <sz val="11"/>
        <color rgb="FFD2D2D2"/>
        <rFont val="Aptos Narrow"/>
        <family val="2"/>
        <scheme val="minor"/>
      </rPr>
      <t>= "DocumentMultiple"</t>
    </r>
  </si>
  <si>
    <r>
      <t>documentPdf </t>
    </r>
    <r>
      <rPr>
        <sz val="11"/>
        <color rgb="FFD2D2D2"/>
        <rFont val="Aptos Narrow"/>
        <family val="2"/>
        <scheme val="minor"/>
      </rPr>
      <t>= "DocumentPdf"</t>
    </r>
  </si>
  <si>
    <r>
      <t>documentQueue </t>
    </r>
    <r>
      <rPr>
        <sz val="11"/>
        <color rgb="FFD2D2D2"/>
        <rFont val="Aptos Narrow"/>
        <family val="2"/>
        <scheme val="minor"/>
      </rPr>
      <t>= "DocumentQueue"</t>
    </r>
  </si>
  <si>
    <r>
      <t>documentText </t>
    </r>
    <r>
      <rPr>
        <sz val="11"/>
        <color rgb="FFD2D2D2"/>
        <rFont val="Aptos Narrow"/>
        <family val="2"/>
        <scheme val="minor"/>
      </rPr>
      <t>= "DocumentText"</t>
    </r>
  </si>
  <si>
    <r>
      <t>dog </t>
    </r>
    <r>
      <rPr>
        <sz val="11"/>
        <color rgb="FFD2D2D2"/>
        <rFont val="Aptos Narrow"/>
        <family val="2"/>
        <scheme val="minor"/>
      </rPr>
      <t>= "Dog"</t>
    </r>
  </si>
  <si>
    <r>
      <t>door </t>
    </r>
    <r>
      <rPr>
        <sz val="11"/>
        <color rgb="FFD2D2D2"/>
        <rFont val="Aptos Narrow"/>
        <family val="2"/>
        <scheme val="minor"/>
      </rPr>
      <t>= "Door"</t>
    </r>
  </si>
  <si>
    <r>
      <t>doorTag </t>
    </r>
    <r>
      <rPr>
        <sz val="11"/>
        <color rgb="FFD2D2D2"/>
        <rFont val="Aptos Narrow"/>
        <family val="2"/>
        <scheme val="minor"/>
      </rPr>
      <t>= "DoorTag"</t>
    </r>
  </si>
  <si>
    <r>
      <t>drafts </t>
    </r>
    <r>
      <rPr>
        <sz val="11"/>
        <color rgb="FFD2D2D2"/>
        <rFont val="Aptos Narrow"/>
        <family val="2"/>
        <scheme val="minor"/>
      </rPr>
      <t>= "Drafts"</t>
    </r>
  </si>
  <si>
    <r>
      <t>drama </t>
    </r>
    <r>
      <rPr>
        <sz val="11"/>
        <color rgb="FFD2D2D2"/>
        <rFont val="Aptos Narrow"/>
        <family val="2"/>
        <scheme val="minor"/>
      </rPr>
      <t>= "Drama"</t>
    </r>
  </si>
  <si>
    <r>
      <t>drinkBeer </t>
    </r>
    <r>
      <rPr>
        <sz val="11"/>
        <color rgb="FFD2D2D2"/>
        <rFont val="Aptos Narrow"/>
        <family val="2"/>
        <scheme val="minor"/>
      </rPr>
      <t>= "DrinkBeer"</t>
    </r>
  </si>
  <si>
    <r>
      <t>drinkCoffee </t>
    </r>
    <r>
      <rPr>
        <sz val="11"/>
        <color rgb="FFD2D2D2"/>
        <rFont val="Aptos Narrow"/>
        <family val="2"/>
        <scheme val="minor"/>
      </rPr>
      <t>= "DrinkCoffee"</t>
    </r>
  </si>
  <si>
    <r>
      <t>drinkMargarita </t>
    </r>
    <r>
      <rPr>
        <sz val="11"/>
        <color rgb="FFD2D2D2"/>
        <rFont val="Aptos Narrow"/>
        <family val="2"/>
        <scheme val="minor"/>
      </rPr>
      <t>= "DrinkMargarita"</t>
    </r>
  </si>
  <si>
    <r>
      <t>drinkToGo </t>
    </r>
    <r>
      <rPr>
        <sz val="11"/>
        <color rgb="FFD2D2D2"/>
        <rFont val="Aptos Narrow"/>
        <family val="2"/>
        <scheme val="minor"/>
      </rPr>
      <t>= "DrinkToGo"</t>
    </r>
  </si>
  <si>
    <r>
      <t>drinkWine </t>
    </r>
    <r>
      <rPr>
        <sz val="11"/>
        <color rgb="FFD2D2D2"/>
        <rFont val="Aptos Narrow"/>
        <family val="2"/>
        <scheme val="minor"/>
      </rPr>
      <t>= "DrinkWine"</t>
    </r>
  </si>
  <si>
    <r>
      <t>driveTrain </t>
    </r>
    <r>
      <rPr>
        <sz val="11"/>
        <color rgb="FFD2D2D2"/>
        <rFont val="Aptos Narrow"/>
        <family val="2"/>
        <scheme val="minor"/>
      </rPr>
      <t>= "DriveTrain"</t>
    </r>
  </si>
  <si>
    <r>
      <t>drop </t>
    </r>
    <r>
      <rPr>
        <sz val="11"/>
        <color rgb="FFD2D2D2"/>
        <rFont val="Aptos Narrow"/>
        <family val="2"/>
        <scheme val="minor"/>
      </rPr>
      <t>= "Drop"</t>
    </r>
  </si>
  <si>
    <r>
      <t>dualScreen </t>
    </r>
    <r>
      <rPr>
        <sz val="11"/>
        <color rgb="FFD2D2D2"/>
        <rFont val="Aptos Narrow"/>
        <family val="2"/>
        <scheme val="minor"/>
      </rPr>
      <t>= "DualScreen"</t>
    </r>
  </si>
  <si>
    <r>
      <t>dumbbell </t>
    </r>
    <r>
      <rPr>
        <sz val="11"/>
        <color rgb="FFD2D2D2"/>
        <rFont val="Aptos Narrow"/>
        <family val="2"/>
        <scheme val="minor"/>
      </rPr>
      <t>= "Dumbbell"</t>
    </r>
  </si>
  <si>
    <r>
      <t>earth </t>
    </r>
    <r>
      <rPr>
        <sz val="11"/>
        <color rgb="FFD2D2D2"/>
        <rFont val="Aptos Narrow"/>
        <family val="2"/>
        <scheme val="minor"/>
      </rPr>
      <t>= "Earth"</t>
    </r>
  </si>
  <si>
    <r>
      <t>emoji </t>
    </r>
    <r>
      <rPr>
        <sz val="11"/>
        <color rgb="FFD2D2D2"/>
        <rFont val="Aptos Narrow"/>
        <family val="2"/>
        <scheme val="minor"/>
      </rPr>
      <t>= "Emoji"</t>
    </r>
  </si>
  <si>
    <r>
      <t>emojiAngry </t>
    </r>
    <r>
      <rPr>
        <sz val="11"/>
        <color rgb="FFD2D2D2"/>
        <rFont val="Aptos Narrow"/>
        <family val="2"/>
        <scheme val="minor"/>
      </rPr>
      <t>= "EmojiAngry"</t>
    </r>
  </si>
  <si>
    <r>
      <t>emojiHand </t>
    </r>
    <r>
      <rPr>
        <sz val="11"/>
        <color rgb="FFD2D2D2"/>
        <rFont val="Aptos Narrow"/>
        <family val="2"/>
        <scheme val="minor"/>
      </rPr>
      <t>= "EmojiHand"</t>
    </r>
  </si>
  <si>
    <r>
      <t>emojiLaugh </t>
    </r>
    <r>
      <rPr>
        <sz val="11"/>
        <color rgb="FFD2D2D2"/>
        <rFont val="Aptos Narrow"/>
        <family val="2"/>
        <scheme val="minor"/>
      </rPr>
      <t>= "EmojiLaugh"</t>
    </r>
  </si>
  <si>
    <r>
      <t>emojiMeh </t>
    </r>
    <r>
      <rPr>
        <sz val="11"/>
        <color rgb="FFD2D2D2"/>
        <rFont val="Aptos Narrow"/>
        <family val="2"/>
        <scheme val="minor"/>
      </rPr>
      <t>= "EmojiMeh"</t>
    </r>
  </si>
  <si>
    <r>
      <t>emojiMultiple </t>
    </r>
    <r>
      <rPr>
        <sz val="11"/>
        <color rgb="FFD2D2D2"/>
        <rFont val="Aptos Narrow"/>
        <family val="2"/>
        <scheme val="minor"/>
      </rPr>
      <t>= "EmojiMultiple"</t>
    </r>
  </si>
  <si>
    <r>
      <t>emojiSad </t>
    </r>
    <r>
      <rPr>
        <sz val="11"/>
        <color rgb="FFD2D2D2"/>
        <rFont val="Aptos Narrow"/>
        <family val="2"/>
        <scheme val="minor"/>
      </rPr>
      <t>= "EmojiSad"</t>
    </r>
  </si>
  <si>
    <r>
      <t>emojiSadSlight </t>
    </r>
    <r>
      <rPr>
        <sz val="11"/>
        <color rgb="FFD2D2D2"/>
        <rFont val="Aptos Narrow"/>
        <family val="2"/>
        <scheme val="minor"/>
      </rPr>
      <t>= "EmojiSadSlight"</t>
    </r>
  </si>
  <si>
    <r>
      <t>emojiSmileSlight </t>
    </r>
    <r>
      <rPr>
        <sz val="11"/>
        <color rgb="FFD2D2D2"/>
        <rFont val="Aptos Narrow"/>
        <family val="2"/>
        <scheme val="minor"/>
      </rPr>
      <t>= "EmojiSmileSlight"</t>
    </r>
  </si>
  <si>
    <r>
      <t>emojiSparkle </t>
    </r>
    <r>
      <rPr>
        <sz val="11"/>
        <color rgb="FFD2D2D2"/>
        <rFont val="Aptos Narrow"/>
        <family val="2"/>
        <scheme val="minor"/>
      </rPr>
      <t>= "EmojiSparkle"</t>
    </r>
  </si>
  <si>
    <r>
      <t>emojiSurprise </t>
    </r>
    <r>
      <rPr>
        <sz val="11"/>
        <color rgb="FFD2D2D2"/>
        <rFont val="Aptos Narrow"/>
        <family val="2"/>
        <scheme val="minor"/>
      </rPr>
      <t>= "EmojiSurprise"</t>
    </r>
  </si>
  <si>
    <r>
      <t>engine </t>
    </r>
    <r>
      <rPr>
        <sz val="11"/>
        <color rgb="FFD2D2D2"/>
        <rFont val="Aptos Narrow"/>
        <family val="2"/>
        <scheme val="minor"/>
      </rPr>
      <t>= "Engine"</t>
    </r>
  </si>
  <si>
    <r>
      <t>eraser </t>
    </r>
    <r>
      <rPr>
        <sz val="11"/>
        <color rgb="FFD2D2D2"/>
        <rFont val="Aptos Narrow"/>
        <family val="2"/>
        <scheme val="minor"/>
      </rPr>
      <t>= "Eraser"</t>
    </r>
  </si>
  <si>
    <r>
      <t>eye </t>
    </r>
    <r>
      <rPr>
        <sz val="11"/>
        <color rgb="FFD2D2D2"/>
        <rFont val="Aptos Narrow"/>
        <family val="2"/>
        <scheme val="minor"/>
      </rPr>
      <t>= "Eye"</t>
    </r>
  </si>
  <si>
    <r>
      <t>eyedropper </t>
    </r>
    <r>
      <rPr>
        <sz val="11"/>
        <color rgb="FFD2D2D2"/>
        <rFont val="Aptos Narrow"/>
        <family val="2"/>
        <scheme val="minor"/>
      </rPr>
      <t>= "Eyedropper"</t>
    </r>
  </si>
  <si>
    <r>
      <t>fax </t>
    </r>
    <r>
      <rPr>
        <sz val="11"/>
        <color rgb="FFD2D2D2"/>
        <rFont val="Aptos Narrow"/>
        <family val="2"/>
        <scheme val="minor"/>
      </rPr>
      <t>= "Fax"</t>
    </r>
  </si>
  <si>
    <r>
      <t>fingerprint </t>
    </r>
    <r>
      <rPr>
        <sz val="11"/>
        <color rgb="FFD2D2D2"/>
        <rFont val="Aptos Narrow"/>
        <family val="2"/>
        <scheme val="minor"/>
      </rPr>
      <t>= "Fingerprint"</t>
    </r>
  </si>
  <si>
    <r>
      <t>firstAid </t>
    </r>
    <r>
      <rPr>
        <sz val="11"/>
        <color rgb="FFD2D2D2"/>
        <rFont val="Aptos Narrow"/>
        <family val="2"/>
        <scheme val="minor"/>
      </rPr>
      <t>= "FirstAid"</t>
    </r>
  </si>
  <si>
    <r>
      <t>flag </t>
    </r>
    <r>
      <rPr>
        <sz val="11"/>
        <color rgb="FFD2D2D2"/>
        <rFont val="Aptos Narrow"/>
        <family val="2"/>
        <scheme val="minor"/>
      </rPr>
      <t>= "Flag"</t>
    </r>
  </si>
  <si>
    <r>
      <t>flash </t>
    </r>
    <r>
      <rPr>
        <sz val="11"/>
        <color rgb="FFD2D2D2"/>
        <rFont val="Aptos Narrow"/>
        <family val="2"/>
        <scheme val="minor"/>
      </rPr>
      <t>= "Flash"</t>
    </r>
  </si>
  <si>
    <r>
      <t>flashlight </t>
    </r>
    <r>
      <rPr>
        <sz val="11"/>
        <color rgb="FFD2D2D2"/>
        <rFont val="Aptos Narrow"/>
        <family val="2"/>
        <scheme val="minor"/>
      </rPr>
      <t>= "Flashlight"</t>
    </r>
  </si>
  <si>
    <r>
      <t>flow </t>
    </r>
    <r>
      <rPr>
        <sz val="11"/>
        <color rgb="FFD2D2D2"/>
        <rFont val="Aptos Narrow"/>
        <family val="2"/>
        <scheme val="minor"/>
      </rPr>
      <t>= "Flow"</t>
    </r>
  </si>
  <si>
    <r>
      <t>flowchart </t>
    </r>
    <r>
      <rPr>
        <sz val="11"/>
        <color rgb="FFD2D2D2"/>
        <rFont val="Aptos Narrow"/>
        <family val="2"/>
        <scheme val="minor"/>
      </rPr>
      <t>= "Flowchart"</t>
    </r>
  </si>
  <si>
    <r>
      <t>folder </t>
    </r>
    <r>
      <rPr>
        <sz val="11"/>
        <color rgb="FFD2D2D2"/>
        <rFont val="Aptos Narrow"/>
        <family val="2"/>
        <scheme val="minor"/>
      </rPr>
      <t>= "Folder"</t>
    </r>
  </si>
  <si>
    <r>
      <t>folderOpen </t>
    </r>
    <r>
      <rPr>
        <sz val="11"/>
        <color rgb="FFD2D2D2"/>
        <rFont val="Aptos Narrow"/>
        <family val="2"/>
        <scheme val="minor"/>
      </rPr>
      <t>= "FolderOpen"</t>
    </r>
  </si>
  <si>
    <r>
      <t>folderOpenVertical </t>
    </r>
    <r>
      <rPr>
        <sz val="11"/>
        <color rgb="FFD2D2D2"/>
        <rFont val="Aptos Narrow"/>
        <family val="2"/>
        <scheme val="minor"/>
      </rPr>
      <t>= "FolderOpenVertical"</t>
    </r>
  </si>
  <si>
    <r>
      <t>folderPerson </t>
    </r>
    <r>
      <rPr>
        <sz val="11"/>
        <color rgb="FFD2D2D2"/>
        <rFont val="Aptos Narrow"/>
        <family val="2"/>
        <scheme val="minor"/>
      </rPr>
      <t>= "FolderPerson"</t>
    </r>
  </si>
  <si>
    <r>
      <t>folderZip </t>
    </r>
    <r>
      <rPr>
        <sz val="11"/>
        <color rgb="FFD2D2D2"/>
        <rFont val="Aptos Narrow"/>
        <family val="2"/>
        <scheme val="minor"/>
      </rPr>
      <t>= "FolderZip"</t>
    </r>
  </si>
  <si>
    <r>
      <t>food </t>
    </r>
    <r>
      <rPr>
        <sz val="11"/>
        <color rgb="FFD2D2D2"/>
        <rFont val="Aptos Narrow"/>
        <family val="2"/>
        <scheme val="minor"/>
      </rPr>
      <t>= "Food"</t>
    </r>
  </si>
  <si>
    <r>
      <t>foodApple </t>
    </r>
    <r>
      <rPr>
        <sz val="11"/>
        <color rgb="FFD2D2D2"/>
        <rFont val="Aptos Narrow"/>
        <family val="2"/>
        <scheme val="minor"/>
      </rPr>
      <t>= "FoodApple"</t>
    </r>
  </si>
  <si>
    <r>
      <t>foodCake </t>
    </r>
    <r>
      <rPr>
        <sz val="11"/>
        <color rgb="FFD2D2D2"/>
        <rFont val="Aptos Narrow"/>
        <family val="2"/>
        <scheme val="minor"/>
      </rPr>
      <t>= "FoodCake"</t>
    </r>
  </si>
  <si>
    <r>
      <t>foodEgg </t>
    </r>
    <r>
      <rPr>
        <sz val="11"/>
        <color rgb="FFD2D2D2"/>
        <rFont val="Aptos Narrow"/>
        <family val="2"/>
        <scheme val="minor"/>
      </rPr>
      <t>= "FoodEgg"</t>
    </r>
  </si>
  <si>
    <r>
      <t>foodGrains </t>
    </r>
    <r>
      <rPr>
        <sz val="11"/>
        <color rgb="FFD2D2D2"/>
        <rFont val="Aptos Narrow"/>
        <family val="2"/>
        <scheme val="minor"/>
      </rPr>
      <t>= "FoodGrains"</t>
    </r>
  </si>
  <si>
    <r>
      <t>foodPizza </t>
    </r>
    <r>
      <rPr>
        <sz val="11"/>
        <color rgb="FFD2D2D2"/>
        <rFont val="Aptos Narrow"/>
        <family val="2"/>
        <scheme val="minor"/>
      </rPr>
      <t>= "FoodPizza"</t>
    </r>
  </si>
  <si>
    <r>
      <t>foodToast </t>
    </r>
    <r>
      <rPr>
        <sz val="11"/>
        <color rgb="FFD2D2D2"/>
        <rFont val="Aptos Narrow"/>
        <family val="2"/>
        <scheme val="minor"/>
      </rPr>
      <t>= "FoodToast"</t>
    </r>
  </si>
  <si>
    <r>
      <t>galaxy </t>
    </r>
    <r>
      <rPr>
        <sz val="11"/>
        <color rgb="FFD2D2D2"/>
        <rFont val="Aptos Narrow"/>
        <family val="2"/>
        <scheme val="minor"/>
      </rPr>
      <t>= "Galaxy"</t>
    </r>
  </si>
  <si>
    <r>
      <t>games </t>
    </r>
    <r>
      <rPr>
        <sz val="11"/>
        <color rgb="FFD2D2D2"/>
        <rFont val="Aptos Narrow"/>
        <family val="2"/>
        <scheme val="minor"/>
      </rPr>
      <t>= "Games"</t>
    </r>
  </si>
  <si>
    <r>
      <t>ganttChart </t>
    </r>
    <r>
      <rPr>
        <sz val="11"/>
        <color rgb="FFD2D2D2"/>
        <rFont val="Aptos Narrow"/>
        <family val="2"/>
        <scheme val="minor"/>
      </rPr>
      <t>= "GanttChart"</t>
    </r>
  </si>
  <si>
    <r>
      <t>gas </t>
    </r>
    <r>
      <rPr>
        <sz val="11"/>
        <color rgb="FFD2D2D2"/>
        <rFont val="Aptos Narrow"/>
        <family val="2"/>
        <scheme val="minor"/>
      </rPr>
      <t>= "Gas"</t>
    </r>
  </si>
  <si>
    <r>
      <t>gasPump </t>
    </r>
    <r>
      <rPr>
        <sz val="11"/>
        <color rgb="FFD2D2D2"/>
        <rFont val="Aptos Narrow"/>
        <family val="2"/>
        <scheme val="minor"/>
      </rPr>
      <t>= "GasPump"</t>
    </r>
  </si>
  <si>
    <r>
      <t>gauge </t>
    </r>
    <r>
      <rPr>
        <sz val="11"/>
        <color rgb="FFD2D2D2"/>
        <rFont val="Aptos Narrow"/>
        <family val="2"/>
        <scheme val="minor"/>
      </rPr>
      <t>= "Gauge"</t>
    </r>
  </si>
  <si>
    <r>
      <t>gavel </t>
    </r>
    <r>
      <rPr>
        <sz val="11"/>
        <color rgb="FFD2D2D2"/>
        <rFont val="Aptos Narrow"/>
        <family val="2"/>
        <scheme val="minor"/>
      </rPr>
      <t>= "Gavel"</t>
    </r>
  </si>
  <si>
    <r>
      <t>generic </t>
    </r>
    <r>
      <rPr>
        <sz val="11"/>
        <color rgb="FFD2D2D2"/>
        <rFont val="Aptos Narrow"/>
        <family val="2"/>
        <scheme val="minor"/>
      </rPr>
      <t>= "Generic"</t>
    </r>
  </si>
  <si>
    <r>
      <t>gift </t>
    </r>
    <r>
      <rPr>
        <sz val="11"/>
        <color rgb="FFD2D2D2"/>
        <rFont val="Aptos Narrow"/>
        <family val="2"/>
        <scheme val="minor"/>
      </rPr>
      <t>= "Gift"</t>
    </r>
  </si>
  <si>
    <r>
      <t>giftCard </t>
    </r>
    <r>
      <rPr>
        <sz val="11"/>
        <color rgb="FFD2D2D2"/>
        <rFont val="Aptos Narrow"/>
        <family val="2"/>
        <scheme val="minor"/>
      </rPr>
      <t>= "GiftCard"</t>
    </r>
  </si>
  <si>
    <r>
      <t>glasses </t>
    </r>
    <r>
      <rPr>
        <sz val="11"/>
        <color rgb="FFD2D2D2"/>
        <rFont val="Aptos Narrow"/>
        <family val="2"/>
        <scheme val="minor"/>
      </rPr>
      <t>= "Glasses"</t>
    </r>
  </si>
  <si>
    <r>
      <t>globe </t>
    </r>
    <r>
      <rPr>
        <sz val="11"/>
        <color rgb="FFD2D2D2"/>
        <rFont val="Aptos Narrow"/>
        <family val="2"/>
        <scheme val="minor"/>
      </rPr>
      <t>= "Globe"</t>
    </r>
  </si>
  <si>
    <r>
      <t>globeSurface </t>
    </r>
    <r>
      <rPr>
        <sz val="11"/>
        <color rgb="FFD2D2D2"/>
        <rFont val="Aptos Narrow"/>
        <family val="2"/>
        <scheme val="minor"/>
      </rPr>
      <t>= "GlobeSurface"</t>
    </r>
  </si>
  <si>
    <r>
      <t>grid </t>
    </r>
    <r>
      <rPr>
        <sz val="11"/>
        <color rgb="FFD2D2D2"/>
        <rFont val="Aptos Narrow"/>
        <family val="2"/>
        <scheme val="minor"/>
      </rPr>
      <t>= "Grid"</t>
    </r>
  </si>
  <si>
    <r>
      <t>gridDots </t>
    </r>
    <r>
      <rPr>
        <sz val="11"/>
        <color rgb="FFD2D2D2"/>
        <rFont val="Aptos Narrow"/>
        <family val="2"/>
        <scheme val="minor"/>
      </rPr>
      <t>= "GridDots"</t>
    </r>
  </si>
  <si>
    <r>
      <t>gridKanban </t>
    </r>
    <r>
      <rPr>
        <sz val="11"/>
        <color rgb="FFD2D2D2"/>
        <rFont val="Aptos Narrow"/>
        <family val="2"/>
        <scheme val="minor"/>
      </rPr>
      <t>= "GridKanban"</t>
    </r>
  </si>
  <si>
    <r>
      <t>guardian </t>
    </r>
    <r>
      <rPr>
        <sz val="11"/>
        <color rgb="FFD2D2D2"/>
        <rFont val="Aptos Narrow"/>
        <family val="2"/>
        <scheme val="minor"/>
      </rPr>
      <t>= "Guardian"</t>
    </r>
  </si>
  <si>
    <r>
      <t>guest </t>
    </r>
    <r>
      <rPr>
        <sz val="11"/>
        <color rgb="FFD2D2D2"/>
        <rFont val="Aptos Narrow"/>
        <family val="2"/>
        <scheme val="minor"/>
      </rPr>
      <t>= "Guest"</t>
    </r>
  </si>
  <si>
    <r>
      <t>guitar </t>
    </r>
    <r>
      <rPr>
        <sz val="11"/>
        <color rgb="FFD2D2D2"/>
        <rFont val="Aptos Narrow"/>
        <family val="2"/>
        <scheme val="minor"/>
      </rPr>
      <t>= "Guitar"</t>
    </r>
  </si>
  <si>
    <r>
      <t>handLeft </t>
    </r>
    <r>
      <rPr>
        <sz val="11"/>
        <color rgb="FFD2D2D2"/>
        <rFont val="Aptos Narrow"/>
        <family val="2"/>
        <scheme val="minor"/>
      </rPr>
      <t>= "HandLeft"</t>
    </r>
  </si>
  <si>
    <r>
      <t>handRight </t>
    </r>
    <r>
      <rPr>
        <sz val="11"/>
        <color rgb="FFD2D2D2"/>
        <rFont val="Aptos Narrow"/>
        <family val="2"/>
        <scheme val="minor"/>
      </rPr>
      <t>= "HandRight"</t>
    </r>
  </si>
  <si>
    <r>
      <t>handshake </t>
    </r>
    <r>
      <rPr>
        <sz val="11"/>
        <color rgb="FFD2D2D2"/>
        <rFont val="Aptos Narrow"/>
        <family val="2"/>
        <scheme val="minor"/>
      </rPr>
      <t>= "Handshake"</t>
    </r>
  </si>
  <si>
    <r>
      <t>hardDrive </t>
    </r>
    <r>
      <rPr>
        <sz val="11"/>
        <color rgb="FFD2D2D2"/>
        <rFont val="Aptos Narrow"/>
        <family val="2"/>
        <scheme val="minor"/>
      </rPr>
      <t>= "HardDrive"</t>
    </r>
  </si>
  <si>
    <r>
      <t>hatGraduation </t>
    </r>
    <r>
      <rPr>
        <sz val="11"/>
        <color rgb="FFD2D2D2"/>
        <rFont val="Aptos Narrow"/>
        <family val="2"/>
        <scheme val="minor"/>
      </rPr>
      <t>= "HatGraduation"</t>
    </r>
  </si>
  <si>
    <r>
      <t>headphones </t>
    </r>
    <r>
      <rPr>
        <sz val="11"/>
        <color rgb="FFD2D2D2"/>
        <rFont val="Aptos Narrow"/>
        <family val="2"/>
        <scheme val="minor"/>
      </rPr>
      <t>= "Headphones"</t>
    </r>
  </si>
  <si>
    <r>
      <t>headphonesSoundWave </t>
    </r>
    <r>
      <rPr>
        <sz val="11"/>
        <color rgb="FFD2D2D2"/>
        <rFont val="Aptos Narrow"/>
        <family val="2"/>
        <scheme val="minor"/>
      </rPr>
      <t>= "HeadphonesSoundWave"</t>
    </r>
  </si>
  <si>
    <r>
      <t>headset </t>
    </r>
    <r>
      <rPr>
        <sz val="11"/>
        <color rgb="FFD2D2D2"/>
        <rFont val="Aptos Narrow"/>
        <family val="2"/>
        <scheme val="minor"/>
      </rPr>
      <t>= "Headset"</t>
    </r>
  </si>
  <si>
    <r>
      <t>headsetVr </t>
    </r>
    <r>
      <rPr>
        <sz val="11"/>
        <color rgb="FFD2D2D2"/>
        <rFont val="Aptos Narrow"/>
        <family val="2"/>
        <scheme val="minor"/>
      </rPr>
      <t>= "HeadsetVr"</t>
    </r>
  </si>
  <si>
    <r>
      <t>heart </t>
    </r>
    <r>
      <rPr>
        <sz val="11"/>
        <color rgb="FFD2D2D2"/>
        <rFont val="Aptos Narrow"/>
        <family val="2"/>
        <scheme val="minor"/>
      </rPr>
      <t>= "Heart"</t>
    </r>
  </si>
  <si>
    <r>
      <t>heartBroken </t>
    </r>
    <r>
      <rPr>
        <sz val="11"/>
        <color rgb="FFD2D2D2"/>
        <rFont val="Aptos Narrow"/>
        <family val="2"/>
        <scheme val="minor"/>
      </rPr>
      <t>= "HeartBroken"</t>
    </r>
  </si>
  <si>
    <r>
      <t>heartCircle </t>
    </r>
    <r>
      <rPr>
        <sz val="11"/>
        <color rgb="FFD2D2D2"/>
        <rFont val="Aptos Narrow"/>
        <family val="2"/>
        <scheme val="minor"/>
      </rPr>
      <t>= "HeartCircle"</t>
    </r>
  </si>
  <si>
    <r>
      <t>heartHuman </t>
    </r>
    <r>
      <rPr>
        <sz val="11"/>
        <color rgb="FFD2D2D2"/>
        <rFont val="Aptos Narrow"/>
        <family val="2"/>
        <scheme val="minor"/>
      </rPr>
      <t>= "HeartHuman"</t>
    </r>
  </si>
  <si>
    <r>
      <t>heartPulse </t>
    </r>
    <r>
      <rPr>
        <sz val="11"/>
        <color rgb="FFD2D2D2"/>
        <rFont val="Aptos Narrow"/>
        <family val="2"/>
        <scheme val="minor"/>
      </rPr>
      <t>= "HeartPulse"</t>
    </r>
  </si>
  <si>
    <r>
      <t>history </t>
    </r>
    <r>
      <rPr>
        <sz val="11"/>
        <color rgb="FFD2D2D2"/>
        <rFont val="Aptos Narrow"/>
        <family val="2"/>
        <scheme val="minor"/>
      </rPr>
      <t>= "History"</t>
    </r>
  </si>
  <si>
    <r>
      <t>home </t>
    </r>
    <r>
      <rPr>
        <sz val="11"/>
        <color rgb="FFD2D2D2"/>
        <rFont val="Aptos Narrow"/>
        <family val="2"/>
        <scheme val="minor"/>
      </rPr>
      <t>= "Home"</t>
    </r>
  </si>
  <si>
    <r>
      <t>homeMore </t>
    </r>
    <r>
      <rPr>
        <sz val="11"/>
        <color rgb="FFD2D2D2"/>
        <rFont val="Aptos Narrow"/>
        <family val="2"/>
        <scheme val="minor"/>
      </rPr>
      <t>= "HomeMore"</t>
    </r>
  </si>
  <si>
    <r>
      <t>homePerson </t>
    </r>
    <r>
      <rPr>
        <sz val="11"/>
        <color rgb="FFD2D2D2"/>
        <rFont val="Aptos Narrow"/>
        <family val="2"/>
        <scheme val="minor"/>
      </rPr>
      <t>= "HomePerson"</t>
    </r>
  </si>
  <si>
    <r>
      <t>icons </t>
    </r>
    <r>
      <rPr>
        <sz val="11"/>
        <color rgb="FFD2D2D2"/>
        <rFont val="Aptos Narrow"/>
        <family val="2"/>
        <scheme val="minor"/>
      </rPr>
      <t>= "Icons"</t>
    </r>
  </si>
  <si>
    <r>
      <t>image </t>
    </r>
    <r>
      <rPr>
        <sz val="11"/>
        <color rgb="FFD2D2D2"/>
        <rFont val="Aptos Narrow"/>
        <family val="2"/>
        <scheme val="minor"/>
      </rPr>
      <t>= "Image"</t>
    </r>
  </si>
  <si>
    <r>
      <t>imageGlobe </t>
    </r>
    <r>
      <rPr>
        <sz val="11"/>
        <color rgb="FFD2D2D2"/>
        <rFont val="Aptos Narrow"/>
        <family val="2"/>
        <scheme val="minor"/>
      </rPr>
      <t>= "ImageGlobe"</t>
    </r>
  </si>
  <si>
    <r>
      <t>imageMultiple </t>
    </r>
    <r>
      <rPr>
        <sz val="11"/>
        <color rgb="FFD2D2D2"/>
        <rFont val="Aptos Narrow"/>
        <family val="2"/>
        <scheme val="minor"/>
      </rPr>
      <t>= "ImageMultiple"</t>
    </r>
  </si>
  <si>
    <r>
      <t>iot </t>
    </r>
    <r>
      <rPr>
        <sz val="11"/>
        <color rgb="FFD2D2D2"/>
        <rFont val="Aptos Narrow"/>
        <family val="2"/>
        <scheme val="minor"/>
      </rPr>
      <t>= "Iot"</t>
    </r>
  </si>
  <si>
    <r>
      <t>joystick </t>
    </r>
    <r>
      <rPr>
        <sz val="11"/>
        <color rgb="FFD2D2D2"/>
        <rFont val="Aptos Narrow"/>
        <family val="2"/>
        <scheme val="minor"/>
      </rPr>
      <t>= "Joystick"</t>
    </r>
  </si>
  <si>
    <r>
      <t>justice </t>
    </r>
    <r>
      <rPr>
        <sz val="11"/>
        <color rgb="FFD2D2D2"/>
        <rFont val="Aptos Narrow"/>
        <family val="2"/>
        <scheme val="minor"/>
      </rPr>
      <t>= "Justice"</t>
    </r>
  </si>
  <si>
    <r>
      <t>key </t>
    </r>
    <r>
      <rPr>
        <sz val="11"/>
        <color rgb="FFD2D2D2"/>
        <rFont val="Aptos Narrow"/>
        <family val="2"/>
        <scheme val="minor"/>
      </rPr>
      <t>= "Key"</t>
    </r>
  </si>
  <si>
    <r>
      <t>keyboard </t>
    </r>
    <r>
      <rPr>
        <sz val="11"/>
        <color rgb="FFD2D2D2"/>
        <rFont val="Aptos Narrow"/>
        <family val="2"/>
        <scheme val="minor"/>
      </rPr>
      <t>= "Keyboard"</t>
    </r>
  </si>
  <si>
    <r>
      <t>keyboardLayoutSplit </t>
    </r>
    <r>
      <rPr>
        <sz val="11"/>
        <color rgb="FFD2D2D2"/>
        <rFont val="Aptos Narrow"/>
        <family val="2"/>
        <scheme val="minor"/>
      </rPr>
      <t>= "KeyboardLayoutSplit"</t>
    </r>
  </si>
  <si>
    <r>
      <t>keyMultiple </t>
    </r>
    <r>
      <rPr>
        <sz val="11"/>
        <color rgb="FFD2D2D2"/>
        <rFont val="Aptos Narrow"/>
        <family val="2"/>
        <scheme val="minor"/>
      </rPr>
      <t>= "KeyMultiple"</t>
    </r>
  </si>
  <si>
    <r>
      <t>languages </t>
    </r>
    <r>
      <rPr>
        <sz val="11"/>
        <color rgb="FFD2D2D2"/>
        <rFont val="Aptos Narrow"/>
        <family val="2"/>
        <scheme val="minor"/>
      </rPr>
      <t>= "Languages"</t>
    </r>
  </si>
  <si>
    <r>
      <t>laptop </t>
    </r>
    <r>
      <rPr>
        <sz val="11"/>
        <color rgb="FFD2D2D2"/>
        <rFont val="Aptos Narrow"/>
        <family val="2"/>
        <scheme val="minor"/>
      </rPr>
      <t>= "Laptop"</t>
    </r>
  </si>
  <si>
    <r>
      <t>lasso </t>
    </r>
    <r>
      <rPr>
        <sz val="11"/>
        <color rgb="FFD2D2D2"/>
        <rFont val="Aptos Narrow"/>
        <family val="2"/>
        <scheme val="minor"/>
      </rPr>
      <t>= "Lasso"</t>
    </r>
  </si>
  <si>
    <r>
      <t>launcherSettings </t>
    </r>
    <r>
      <rPr>
        <sz val="11"/>
        <color rgb="FFD2D2D2"/>
        <rFont val="Aptos Narrow"/>
        <family val="2"/>
        <scheme val="minor"/>
      </rPr>
      <t>= "LauncherSettings"</t>
    </r>
  </si>
  <si>
    <r>
      <t>layer </t>
    </r>
    <r>
      <rPr>
        <sz val="11"/>
        <color rgb="FFD2D2D2"/>
        <rFont val="Aptos Narrow"/>
        <family val="2"/>
        <scheme val="minor"/>
      </rPr>
      <t>= "Layer"</t>
    </r>
  </si>
  <si>
    <r>
      <t>leaf </t>
    </r>
    <r>
      <rPr>
        <sz val="11"/>
        <color rgb="FFD2D2D2"/>
        <rFont val="Aptos Narrow"/>
        <family val="2"/>
        <scheme val="minor"/>
      </rPr>
      <t>= "Leaf"</t>
    </r>
  </si>
  <si>
    <r>
      <t>leafOne </t>
    </r>
    <r>
      <rPr>
        <sz val="11"/>
        <color rgb="FFD2D2D2"/>
        <rFont val="Aptos Narrow"/>
        <family val="2"/>
        <scheme val="minor"/>
      </rPr>
      <t>= "LeafOne"</t>
    </r>
  </si>
  <si>
    <r>
      <t>leafThree </t>
    </r>
    <r>
      <rPr>
        <sz val="11"/>
        <color rgb="FFD2D2D2"/>
        <rFont val="Aptos Narrow"/>
        <family val="2"/>
        <scheme val="minor"/>
      </rPr>
      <t>= "LeafThree"</t>
    </r>
  </si>
  <si>
    <r>
      <t>leafTwo </t>
    </r>
    <r>
      <rPr>
        <sz val="11"/>
        <color rgb="FFD2D2D2"/>
        <rFont val="Aptos Narrow"/>
        <family val="2"/>
        <scheme val="minor"/>
      </rPr>
      <t>= "LeafTwo"</t>
    </r>
  </si>
  <si>
    <r>
      <t>library </t>
    </r>
    <r>
      <rPr>
        <sz val="11"/>
        <color rgb="FFD2D2D2"/>
        <rFont val="Aptos Narrow"/>
        <family val="2"/>
        <scheme val="minor"/>
      </rPr>
      <t>= "Library"</t>
    </r>
  </si>
  <si>
    <r>
      <t>lightbulb </t>
    </r>
    <r>
      <rPr>
        <sz val="11"/>
        <color rgb="FFD2D2D2"/>
        <rFont val="Aptos Narrow"/>
        <family val="2"/>
        <scheme val="minor"/>
      </rPr>
      <t>= "Lightbulb"</t>
    </r>
  </si>
  <si>
    <r>
      <t>lightbulbFilament </t>
    </r>
    <r>
      <rPr>
        <sz val="11"/>
        <color rgb="FFD2D2D2"/>
        <rFont val="Aptos Narrow"/>
        <family val="2"/>
        <scheme val="minor"/>
      </rPr>
      <t>= "LightbulbFilament"</t>
    </r>
  </si>
  <si>
    <r>
      <t>likert </t>
    </r>
    <r>
      <rPr>
        <sz val="11"/>
        <color rgb="FFD2D2D2"/>
        <rFont val="Aptos Narrow"/>
        <family val="2"/>
        <scheme val="minor"/>
      </rPr>
      <t>= "Likert"</t>
    </r>
  </si>
  <si>
    <r>
      <t>link </t>
    </r>
    <r>
      <rPr>
        <sz val="11"/>
        <color rgb="FFD2D2D2"/>
        <rFont val="Aptos Narrow"/>
        <family val="2"/>
        <scheme val="minor"/>
      </rPr>
      <t>= "Link"</t>
    </r>
  </si>
  <si>
    <r>
      <t>localLanguage </t>
    </r>
    <r>
      <rPr>
        <sz val="11"/>
        <color rgb="FFD2D2D2"/>
        <rFont val="Aptos Narrow"/>
        <family val="2"/>
        <scheme val="minor"/>
      </rPr>
      <t>= "LocalLanguage"</t>
    </r>
  </si>
  <si>
    <r>
      <t>location </t>
    </r>
    <r>
      <rPr>
        <sz val="11"/>
        <color rgb="FFD2D2D2"/>
        <rFont val="Aptos Narrow"/>
        <family val="2"/>
        <scheme val="minor"/>
      </rPr>
      <t>= "Location"</t>
    </r>
  </si>
  <si>
    <r>
      <t>lockClosed </t>
    </r>
    <r>
      <rPr>
        <sz val="11"/>
        <color rgb="FFD2D2D2"/>
        <rFont val="Aptos Narrow"/>
        <family val="2"/>
        <scheme val="minor"/>
      </rPr>
      <t>= "LockClosed"</t>
    </r>
  </si>
  <si>
    <r>
      <t>lockMultiple </t>
    </r>
    <r>
      <rPr>
        <sz val="11"/>
        <color rgb="FFD2D2D2"/>
        <rFont val="Aptos Narrow"/>
        <family val="2"/>
        <scheme val="minor"/>
      </rPr>
      <t>= "LockMultiple"</t>
    </r>
  </si>
  <si>
    <r>
      <t>lockOpen </t>
    </r>
    <r>
      <rPr>
        <sz val="11"/>
        <color rgb="FFD2D2D2"/>
        <rFont val="Aptos Narrow"/>
        <family val="2"/>
        <scheme val="minor"/>
      </rPr>
      <t>= "LockOpen"</t>
    </r>
  </si>
  <si>
    <r>
      <t>lottery </t>
    </r>
    <r>
      <rPr>
        <sz val="11"/>
        <color rgb="FFD2D2D2"/>
        <rFont val="Aptos Narrow"/>
        <family val="2"/>
        <scheme val="minor"/>
      </rPr>
      <t>= "Lottery"</t>
    </r>
  </si>
  <si>
    <r>
      <t>luggage </t>
    </r>
    <r>
      <rPr>
        <sz val="11"/>
        <color rgb="FFD2D2D2"/>
        <rFont val="Aptos Narrow"/>
        <family val="2"/>
        <scheme val="minor"/>
      </rPr>
      <t>= "Luggage"</t>
    </r>
  </si>
  <si>
    <r>
      <t>mail </t>
    </r>
    <r>
      <rPr>
        <sz val="11"/>
        <color rgb="FFD2D2D2"/>
        <rFont val="Aptos Narrow"/>
        <family val="2"/>
        <scheme val="minor"/>
      </rPr>
      <t>= "Mail"</t>
    </r>
  </si>
  <si>
    <r>
      <t>mailInbox </t>
    </r>
    <r>
      <rPr>
        <sz val="11"/>
        <color rgb="FFD2D2D2"/>
        <rFont val="Aptos Narrow"/>
        <family val="2"/>
        <scheme val="minor"/>
      </rPr>
      <t>= "MailInbox"</t>
    </r>
  </si>
  <si>
    <r>
      <t>mailMultiple </t>
    </r>
    <r>
      <rPr>
        <sz val="11"/>
        <color rgb="FFD2D2D2"/>
        <rFont val="Aptos Narrow"/>
        <family val="2"/>
        <scheme val="minor"/>
      </rPr>
      <t>= "MailMultiple"</t>
    </r>
  </si>
  <si>
    <r>
      <t>map </t>
    </r>
    <r>
      <rPr>
        <sz val="11"/>
        <color rgb="FFD2D2D2"/>
        <rFont val="Aptos Narrow"/>
        <family val="2"/>
        <scheme val="minor"/>
      </rPr>
      <t>= "Map"</t>
    </r>
  </si>
  <si>
    <r>
      <t>mapPin </t>
    </r>
    <r>
      <rPr>
        <sz val="11"/>
        <color rgb="FFD2D2D2"/>
        <rFont val="Aptos Narrow"/>
        <family val="2"/>
        <scheme val="minor"/>
      </rPr>
      <t>= "MapPin"</t>
    </r>
  </si>
  <si>
    <r>
      <t>markdown </t>
    </r>
    <r>
      <rPr>
        <sz val="11"/>
        <color rgb="FFD2D2D2"/>
        <rFont val="Aptos Narrow"/>
        <family val="2"/>
        <scheme val="minor"/>
      </rPr>
      <t>= "Markdown"</t>
    </r>
  </si>
  <si>
    <r>
      <t>mathFormula </t>
    </r>
    <r>
      <rPr>
        <sz val="11"/>
        <color rgb="FFD2D2D2"/>
        <rFont val="Aptos Narrow"/>
        <family val="2"/>
        <scheme val="minor"/>
      </rPr>
      <t>= "MathFormula"</t>
    </r>
  </si>
  <si>
    <r>
      <t>mathSymbols </t>
    </r>
    <r>
      <rPr>
        <sz val="11"/>
        <color rgb="FFD2D2D2"/>
        <rFont val="Aptos Narrow"/>
        <family val="2"/>
        <scheme val="minor"/>
      </rPr>
      <t>= "MathSymbols"</t>
    </r>
  </si>
  <si>
    <r>
      <t>max </t>
    </r>
    <r>
      <rPr>
        <sz val="11"/>
        <color rgb="FFD2D2D2"/>
        <rFont val="Aptos Narrow"/>
        <family val="2"/>
        <scheme val="minor"/>
      </rPr>
      <t>= "Max"</t>
    </r>
  </si>
  <si>
    <r>
      <t>megaphone </t>
    </r>
    <r>
      <rPr>
        <sz val="11"/>
        <color rgb="FFD2D2D2"/>
        <rFont val="Aptos Narrow"/>
        <family val="2"/>
        <scheme val="minor"/>
      </rPr>
      <t>= "Megaphone"</t>
    </r>
  </si>
  <si>
    <r>
      <t>megaphoneLoud </t>
    </r>
    <r>
      <rPr>
        <sz val="11"/>
        <color rgb="FFD2D2D2"/>
        <rFont val="Aptos Narrow"/>
        <family val="2"/>
        <scheme val="minor"/>
      </rPr>
      <t>= "MegaphoneLoud"</t>
    </r>
  </si>
  <si>
    <r>
      <t>mention </t>
    </r>
    <r>
      <rPr>
        <sz val="11"/>
        <color rgb="FFD2D2D2"/>
        <rFont val="Aptos Narrow"/>
        <family val="2"/>
        <scheme val="minor"/>
      </rPr>
      <t>= "Mention"</t>
    </r>
  </si>
  <si>
    <r>
      <t>mic </t>
    </r>
    <r>
      <rPr>
        <sz val="11"/>
        <color rgb="FFD2D2D2"/>
        <rFont val="Aptos Narrow"/>
        <family val="2"/>
        <scheme val="minor"/>
      </rPr>
      <t>= "Mic"</t>
    </r>
  </si>
  <si>
    <r>
      <t>microscope </t>
    </r>
    <r>
      <rPr>
        <sz val="11"/>
        <color rgb="FFD2D2D2"/>
        <rFont val="Aptos Narrow"/>
        <family val="2"/>
        <scheme val="minor"/>
      </rPr>
      <t>= "Microscope"</t>
    </r>
  </si>
  <si>
    <r>
      <t>midi </t>
    </r>
    <r>
      <rPr>
        <sz val="11"/>
        <color rgb="FFD2D2D2"/>
        <rFont val="Aptos Narrow"/>
        <family val="2"/>
        <scheme val="minor"/>
      </rPr>
      <t>= "Midi"</t>
    </r>
  </si>
  <si>
    <r>
      <t>molecule </t>
    </r>
    <r>
      <rPr>
        <sz val="11"/>
        <color rgb="FFD2D2D2"/>
        <rFont val="Aptos Narrow"/>
        <family val="2"/>
        <scheme val="minor"/>
      </rPr>
      <t>= "Molecule"</t>
    </r>
  </si>
  <si>
    <r>
      <t>money </t>
    </r>
    <r>
      <rPr>
        <sz val="11"/>
        <color rgb="FFD2D2D2"/>
        <rFont val="Aptos Narrow"/>
        <family val="2"/>
        <scheme val="minor"/>
      </rPr>
      <t>= "Money"</t>
    </r>
  </si>
  <si>
    <r>
      <t>moneyHand </t>
    </r>
    <r>
      <rPr>
        <sz val="11"/>
        <color rgb="FFD2D2D2"/>
        <rFont val="Aptos Narrow"/>
        <family val="2"/>
        <scheme val="minor"/>
      </rPr>
      <t>= "MoneyHand"</t>
    </r>
  </si>
  <si>
    <r>
      <t>mountain </t>
    </r>
    <r>
      <rPr>
        <sz val="11"/>
        <color rgb="FFD2D2D2"/>
        <rFont val="Aptos Narrow"/>
        <family val="2"/>
        <scheme val="minor"/>
      </rPr>
      <t>= "Mountain"</t>
    </r>
  </si>
  <si>
    <r>
      <t>movieCamera </t>
    </r>
    <r>
      <rPr>
        <sz val="11"/>
        <color rgb="FFD2D2D2"/>
        <rFont val="Aptos Narrow"/>
        <family val="2"/>
        <scheme val="minor"/>
      </rPr>
      <t>= "MovieCamera"</t>
    </r>
  </si>
  <si>
    <r>
      <t>moviesAndTv </t>
    </r>
    <r>
      <rPr>
        <sz val="11"/>
        <color rgb="FFD2D2D2"/>
        <rFont val="Aptos Narrow"/>
        <family val="2"/>
        <scheme val="minor"/>
      </rPr>
      <t>= "MoviesAndTv"</t>
    </r>
  </si>
  <si>
    <r>
      <t>musicNote </t>
    </r>
    <r>
      <rPr>
        <sz val="11"/>
        <color rgb="FFD2D2D2"/>
        <rFont val="Aptos Narrow"/>
        <family val="2"/>
        <scheme val="minor"/>
      </rPr>
      <t>= "MusicNote"</t>
    </r>
  </si>
  <si>
    <r>
      <t>musicNote1 </t>
    </r>
    <r>
      <rPr>
        <sz val="11"/>
        <color rgb="FFD2D2D2"/>
        <rFont val="Aptos Narrow"/>
        <family val="2"/>
        <scheme val="minor"/>
      </rPr>
      <t>= "MusicNote1"</t>
    </r>
  </si>
  <si>
    <r>
      <t>musicNote2 </t>
    </r>
    <r>
      <rPr>
        <sz val="11"/>
        <color rgb="FFD2D2D2"/>
        <rFont val="Aptos Narrow"/>
        <family val="2"/>
        <scheme val="minor"/>
      </rPr>
      <t>= "MusicNote2"</t>
    </r>
  </si>
  <si>
    <r>
      <t>myLocation </t>
    </r>
    <r>
      <rPr>
        <sz val="11"/>
        <color rgb="FFD2D2D2"/>
        <rFont val="Aptos Narrow"/>
        <family val="2"/>
        <scheme val="minor"/>
      </rPr>
      <t>= "MyLocation"</t>
    </r>
  </si>
  <si>
    <r>
      <t>nByN </t>
    </r>
    <r>
      <rPr>
        <sz val="11"/>
        <color rgb="FFD2D2D2"/>
        <rFont val="Aptos Narrow"/>
        <family val="2"/>
        <scheme val="minor"/>
      </rPr>
      <t>= "NByN"</t>
    </r>
  </si>
  <si>
    <r>
      <t>nByOne </t>
    </r>
    <r>
      <rPr>
        <sz val="11"/>
        <color rgb="FFD2D2D2"/>
        <rFont val="Aptos Narrow"/>
        <family val="2"/>
        <scheme val="minor"/>
      </rPr>
      <t>= "NByOne"</t>
    </r>
  </si>
  <si>
    <r>
      <t>news </t>
    </r>
    <r>
      <rPr>
        <sz val="11"/>
        <color rgb="FFD2D2D2"/>
        <rFont val="Aptos Narrow"/>
        <family val="2"/>
        <scheme val="minor"/>
      </rPr>
      <t>= "News"</t>
    </r>
  </si>
  <si>
    <r>
      <t>notablePeople </t>
    </r>
    <r>
      <rPr>
        <sz val="11"/>
        <color rgb="FFD2D2D2"/>
        <rFont val="Aptos Narrow"/>
        <family val="2"/>
        <scheme val="minor"/>
      </rPr>
      <t>= "NotablePeople"</t>
    </r>
  </si>
  <si>
    <r>
      <t>note </t>
    </r>
    <r>
      <rPr>
        <sz val="11"/>
        <color rgb="FFD2D2D2"/>
        <rFont val="Aptos Narrow"/>
        <family val="2"/>
        <scheme val="minor"/>
      </rPr>
      <t>= "Note"</t>
    </r>
  </si>
  <si>
    <r>
      <t>notebook </t>
    </r>
    <r>
      <rPr>
        <sz val="11"/>
        <color rgb="FFD2D2D2"/>
        <rFont val="Aptos Narrow"/>
        <family val="2"/>
        <scheme val="minor"/>
      </rPr>
      <t>= "Notebook"</t>
    </r>
  </si>
  <si>
    <r>
      <t>notepad </t>
    </r>
    <r>
      <rPr>
        <sz val="11"/>
        <color rgb="FFD2D2D2"/>
        <rFont val="Aptos Narrow"/>
        <family val="2"/>
        <scheme val="minor"/>
      </rPr>
      <t>= "Notepad"</t>
    </r>
  </si>
  <si>
    <r>
      <t>notepadPerson </t>
    </r>
    <r>
      <rPr>
        <sz val="11"/>
        <color rgb="FFD2D2D2"/>
        <rFont val="Aptos Narrow"/>
        <family val="2"/>
        <scheme val="minor"/>
      </rPr>
      <t>= "NotepadPerson"</t>
    </r>
  </si>
  <si>
    <r>
      <t>oneByN </t>
    </r>
    <r>
      <rPr>
        <sz val="11"/>
        <color rgb="FFD2D2D2"/>
        <rFont val="Aptos Narrow"/>
        <family val="2"/>
        <scheme val="minor"/>
      </rPr>
      <t>= "OneByN"</t>
    </r>
  </si>
  <si>
    <r>
      <t>oneByOne </t>
    </r>
    <r>
      <rPr>
        <sz val="11"/>
        <color rgb="FFD2D2D2"/>
        <rFont val="Aptos Narrow"/>
        <family val="2"/>
        <scheme val="minor"/>
      </rPr>
      <t>= "OneByOne"</t>
    </r>
  </si>
  <si>
    <r>
      <t>options </t>
    </r>
    <r>
      <rPr>
        <sz val="11"/>
        <color rgb="FFD2D2D2"/>
        <rFont val="Aptos Narrow"/>
        <family val="2"/>
        <scheme val="minor"/>
      </rPr>
      <t>= "Options"</t>
    </r>
  </si>
  <si>
    <r>
      <t>organization </t>
    </r>
    <r>
      <rPr>
        <sz val="11"/>
        <color rgb="FFD2D2D2"/>
        <rFont val="Aptos Narrow"/>
        <family val="2"/>
        <scheme val="minor"/>
      </rPr>
      <t>= "Organization"</t>
    </r>
  </si>
  <si>
    <r>
      <t>organizationHorizontal </t>
    </r>
    <r>
      <rPr>
        <sz val="11"/>
        <color rgb="FFD2D2D2"/>
        <rFont val="Aptos Narrow"/>
        <family val="2"/>
        <scheme val="minor"/>
      </rPr>
      <t>= "OrganizationHorizontal"</t>
    </r>
  </si>
  <si>
    <r>
      <t>oval </t>
    </r>
    <r>
      <rPr>
        <sz val="11"/>
        <color rgb="FFD2D2D2"/>
        <rFont val="Aptos Narrow"/>
        <family val="2"/>
        <scheme val="minor"/>
      </rPr>
      <t>= "Oval"</t>
    </r>
  </si>
  <si>
    <r>
      <t>paintBrush </t>
    </r>
    <r>
      <rPr>
        <sz val="11"/>
        <color rgb="FFD2D2D2"/>
        <rFont val="Aptos Narrow"/>
        <family val="2"/>
        <scheme val="minor"/>
      </rPr>
      <t>= "PaintBrush"</t>
    </r>
  </si>
  <si>
    <r>
      <t>paintBucket </t>
    </r>
    <r>
      <rPr>
        <sz val="11"/>
        <color rgb="FFD2D2D2"/>
        <rFont val="Aptos Narrow"/>
        <family val="2"/>
        <scheme val="minor"/>
      </rPr>
      <t>= "PaintBucket"</t>
    </r>
  </si>
  <si>
    <r>
      <t>partlySunnyWeather </t>
    </r>
    <r>
      <rPr>
        <sz val="11"/>
        <color rgb="FFD2D2D2"/>
        <rFont val="Aptos Narrow"/>
        <family val="2"/>
        <scheme val="minor"/>
      </rPr>
      <t>= "PartlySunnyWeather"</t>
    </r>
  </si>
  <si>
    <r>
      <t>password </t>
    </r>
    <r>
      <rPr>
        <sz val="11"/>
        <color rgb="FFD2D2D2"/>
        <rFont val="Aptos Narrow"/>
        <family val="2"/>
        <scheme val="minor"/>
      </rPr>
      <t>= "Password"</t>
    </r>
  </si>
  <si>
    <r>
      <t>patch </t>
    </r>
    <r>
      <rPr>
        <sz val="11"/>
        <color rgb="FFD2D2D2"/>
        <rFont val="Aptos Narrow"/>
        <family val="2"/>
        <scheme val="minor"/>
      </rPr>
      <t>= "Patch"</t>
    </r>
  </si>
  <si>
    <r>
      <t>patient </t>
    </r>
    <r>
      <rPr>
        <sz val="11"/>
        <color rgb="FFD2D2D2"/>
        <rFont val="Aptos Narrow"/>
        <family val="2"/>
        <scheme val="minor"/>
      </rPr>
      <t>= "Patient"</t>
    </r>
  </si>
  <si>
    <r>
      <t>payment </t>
    </r>
    <r>
      <rPr>
        <sz val="11"/>
        <color rgb="FFD2D2D2"/>
        <rFont val="Aptos Narrow"/>
        <family val="2"/>
        <scheme val="minor"/>
      </rPr>
      <t>= "Payment"</t>
    </r>
  </si>
  <si>
    <r>
      <t>pen </t>
    </r>
    <r>
      <rPr>
        <sz val="11"/>
        <color rgb="FFD2D2D2"/>
        <rFont val="Aptos Narrow"/>
        <family val="2"/>
        <scheme val="minor"/>
      </rPr>
      <t>= "Pen"</t>
    </r>
  </si>
  <si>
    <r>
      <t>pentagon </t>
    </r>
    <r>
      <rPr>
        <sz val="11"/>
        <color rgb="FFD2D2D2"/>
        <rFont val="Aptos Narrow"/>
        <family val="2"/>
        <scheme val="minor"/>
      </rPr>
      <t>= "Pentagon"</t>
    </r>
  </si>
  <si>
    <r>
      <t>people </t>
    </r>
    <r>
      <rPr>
        <sz val="11"/>
        <color rgb="FFD2D2D2"/>
        <rFont val="Aptos Narrow"/>
        <family val="2"/>
        <scheme val="minor"/>
      </rPr>
      <t>= "People"</t>
    </r>
  </si>
  <si>
    <r>
      <t>peopleAudience </t>
    </r>
    <r>
      <rPr>
        <sz val="11"/>
        <color rgb="FFD2D2D2"/>
        <rFont val="Aptos Narrow"/>
        <family val="2"/>
        <scheme val="minor"/>
      </rPr>
      <t>= "PeopleAudience"</t>
    </r>
  </si>
  <si>
    <r>
      <t>peopleCall </t>
    </r>
    <r>
      <rPr>
        <sz val="11"/>
        <color rgb="FFD2D2D2"/>
        <rFont val="Aptos Narrow"/>
        <family val="2"/>
        <scheme val="minor"/>
      </rPr>
      <t>= "PeopleCall"</t>
    </r>
  </si>
  <si>
    <r>
      <t>peopleCommunity </t>
    </r>
    <r>
      <rPr>
        <sz val="11"/>
        <color rgb="FFD2D2D2"/>
        <rFont val="Aptos Narrow"/>
        <family val="2"/>
        <scheme val="minor"/>
      </rPr>
      <t>= "PeopleCommunity"</t>
    </r>
  </si>
  <si>
    <r>
      <t>peopleMoney </t>
    </r>
    <r>
      <rPr>
        <sz val="11"/>
        <color rgb="FFD2D2D2"/>
        <rFont val="Aptos Narrow"/>
        <family val="2"/>
        <scheme val="minor"/>
      </rPr>
      <t>= "PeopleMoney"</t>
    </r>
  </si>
  <si>
    <r>
      <t>peopleQueue </t>
    </r>
    <r>
      <rPr>
        <sz val="11"/>
        <color rgb="FFD2D2D2"/>
        <rFont val="Aptos Narrow"/>
        <family val="2"/>
        <scheme val="minor"/>
      </rPr>
      <t>= "PeopleQueue"</t>
    </r>
  </si>
  <si>
    <r>
      <t>peopleTeam </t>
    </r>
    <r>
      <rPr>
        <sz val="11"/>
        <color rgb="FFD2D2D2"/>
        <rFont val="Aptos Narrow"/>
        <family val="2"/>
        <scheme val="minor"/>
      </rPr>
      <t>= "PeopleTeam"</t>
    </r>
  </si>
  <si>
    <r>
      <t>peopleToolbox </t>
    </r>
    <r>
      <rPr>
        <sz val="11"/>
        <color rgb="FFD2D2D2"/>
        <rFont val="Aptos Narrow"/>
        <family val="2"/>
        <scheme val="minor"/>
      </rPr>
      <t>= "PeopleToolbox"</t>
    </r>
  </si>
  <si>
    <r>
      <t>person </t>
    </r>
    <r>
      <rPr>
        <sz val="11"/>
        <color rgb="FFD2D2D2"/>
        <rFont val="Aptos Narrow"/>
        <family val="2"/>
        <scheme val="minor"/>
      </rPr>
      <t>= "Person"</t>
    </r>
  </si>
  <si>
    <r>
      <t>personBoard </t>
    </r>
    <r>
      <rPr>
        <sz val="11"/>
        <color rgb="FFD2D2D2"/>
        <rFont val="Aptos Narrow"/>
        <family val="2"/>
        <scheme val="minor"/>
      </rPr>
      <t>= "PersonBoard"</t>
    </r>
  </si>
  <si>
    <r>
      <t>personCall </t>
    </r>
    <r>
      <rPr>
        <sz val="11"/>
        <color rgb="FFD2D2D2"/>
        <rFont val="Aptos Narrow"/>
        <family val="2"/>
        <scheme val="minor"/>
      </rPr>
      <t>= "PersonCall"</t>
    </r>
  </si>
  <si>
    <r>
      <t>personChat </t>
    </r>
    <r>
      <rPr>
        <sz val="11"/>
        <color rgb="FFD2D2D2"/>
        <rFont val="Aptos Narrow"/>
        <family val="2"/>
        <scheme val="minor"/>
      </rPr>
      <t>= "PersonChat"</t>
    </r>
  </si>
  <si>
    <r>
      <t>personFeedback </t>
    </r>
    <r>
      <rPr>
        <sz val="11"/>
        <color rgb="FFD2D2D2"/>
        <rFont val="Aptos Narrow"/>
        <family val="2"/>
        <scheme val="minor"/>
      </rPr>
      <t>= "PersonFeedback"</t>
    </r>
  </si>
  <si>
    <r>
      <t>personSupport </t>
    </r>
    <r>
      <rPr>
        <sz val="11"/>
        <color rgb="FFD2D2D2"/>
        <rFont val="Aptos Narrow"/>
        <family val="2"/>
        <scheme val="minor"/>
      </rPr>
      <t>= "PersonSupport"</t>
    </r>
  </si>
  <si>
    <r>
      <t>personVoice </t>
    </r>
    <r>
      <rPr>
        <sz val="11"/>
        <color rgb="FFD2D2D2"/>
        <rFont val="Aptos Narrow"/>
        <family val="2"/>
        <scheme val="minor"/>
      </rPr>
      <t>= "PersonVoice"</t>
    </r>
  </si>
  <si>
    <r>
      <t>phone </t>
    </r>
    <r>
      <rPr>
        <sz val="11"/>
        <color rgb="FFD2D2D2"/>
        <rFont val="Aptos Narrow"/>
        <family val="2"/>
        <scheme val="minor"/>
      </rPr>
      <t>= "Phone"</t>
    </r>
  </si>
  <si>
    <r>
      <t>phoneDesktop </t>
    </r>
    <r>
      <rPr>
        <sz val="11"/>
        <color rgb="FFD2D2D2"/>
        <rFont val="Aptos Narrow"/>
        <family val="2"/>
        <scheme val="minor"/>
      </rPr>
      <t>= "PhoneDesktop"</t>
    </r>
  </si>
  <si>
    <r>
      <t>phoneLaptop </t>
    </r>
    <r>
      <rPr>
        <sz val="11"/>
        <color rgb="FFD2D2D2"/>
        <rFont val="Aptos Narrow"/>
        <family val="2"/>
        <scheme val="minor"/>
      </rPr>
      <t>= "PhoneLaptop"</t>
    </r>
  </si>
  <si>
    <r>
      <t>phoneShake </t>
    </r>
    <r>
      <rPr>
        <sz val="11"/>
        <color rgb="FFD2D2D2"/>
        <rFont val="Aptos Narrow"/>
        <family val="2"/>
        <scheme val="minor"/>
      </rPr>
      <t>= "PhoneShake"</t>
    </r>
  </si>
  <si>
    <r>
      <t>phoneTablet </t>
    </r>
    <r>
      <rPr>
        <sz val="11"/>
        <color rgb="FFD2D2D2"/>
        <rFont val="Aptos Narrow"/>
        <family val="2"/>
        <scheme val="minor"/>
      </rPr>
      <t>= "PhoneTablet"</t>
    </r>
  </si>
  <si>
    <r>
      <t>phoneVibrate </t>
    </r>
    <r>
      <rPr>
        <sz val="11"/>
        <color rgb="FFD2D2D2"/>
        <rFont val="Aptos Narrow"/>
        <family val="2"/>
        <scheme val="minor"/>
      </rPr>
      <t>= "PhoneVibrate"</t>
    </r>
  </si>
  <si>
    <r>
      <t>photoFilter </t>
    </r>
    <r>
      <rPr>
        <sz val="11"/>
        <color rgb="FFD2D2D2"/>
        <rFont val="Aptos Narrow"/>
        <family val="2"/>
        <scheme val="minor"/>
      </rPr>
      <t>= "PhotoFilter"</t>
    </r>
  </si>
  <si>
    <r>
      <t>pi </t>
    </r>
    <r>
      <rPr>
        <sz val="11"/>
        <color rgb="FFD2D2D2"/>
        <rFont val="Aptos Narrow"/>
        <family val="2"/>
        <scheme val="minor"/>
      </rPr>
      <t>= "Pi"</t>
    </r>
  </si>
  <si>
    <r>
      <t>pictureInPicture </t>
    </r>
    <r>
      <rPr>
        <sz val="11"/>
        <color rgb="FFD2D2D2"/>
        <rFont val="Aptos Narrow"/>
        <family val="2"/>
        <scheme val="minor"/>
      </rPr>
      <t>= "PictureInPicture"</t>
    </r>
  </si>
  <si>
    <r>
      <t>pilates </t>
    </r>
    <r>
      <rPr>
        <sz val="11"/>
        <color rgb="FFD2D2D2"/>
        <rFont val="Aptos Narrow"/>
        <family val="2"/>
        <scheme val="minor"/>
      </rPr>
      <t>= "Pilates"</t>
    </r>
  </si>
  <si>
    <r>
      <t>pill </t>
    </r>
    <r>
      <rPr>
        <sz val="11"/>
        <color rgb="FFD2D2D2"/>
        <rFont val="Aptos Narrow"/>
        <family val="2"/>
        <scheme val="minor"/>
      </rPr>
      <t>= "Pill"</t>
    </r>
  </si>
  <si>
    <r>
      <t>pin </t>
    </r>
    <r>
      <rPr>
        <sz val="11"/>
        <color rgb="FFD2D2D2"/>
        <rFont val="Aptos Narrow"/>
        <family val="2"/>
        <scheme val="minor"/>
      </rPr>
      <t>= "Pin"</t>
    </r>
  </si>
  <si>
    <r>
      <t>pipeline </t>
    </r>
    <r>
      <rPr>
        <sz val="11"/>
        <color rgb="FFD2D2D2"/>
        <rFont val="Aptos Narrow"/>
        <family val="2"/>
        <scheme val="minor"/>
      </rPr>
      <t>= "Pipeline"</t>
    </r>
  </si>
  <si>
    <r>
      <t>planet </t>
    </r>
    <r>
      <rPr>
        <sz val="11"/>
        <color rgb="FFD2D2D2"/>
        <rFont val="Aptos Narrow"/>
        <family val="2"/>
        <scheme val="minor"/>
      </rPr>
      <t>= "Planet"</t>
    </r>
  </si>
  <si>
    <r>
      <t>playingCards </t>
    </r>
    <r>
      <rPr>
        <sz val="11"/>
        <color rgb="FFD2D2D2"/>
        <rFont val="Aptos Narrow"/>
        <family val="2"/>
        <scheme val="minor"/>
      </rPr>
      <t>= "PlayingCards"</t>
    </r>
  </si>
  <si>
    <r>
      <t>plugConnected </t>
    </r>
    <r>
      <rPr>
        <sz val="11"/>
        <color rgb="FFD2D2D2"/>
        <rFont val="Aptos Narrow"/>
        <family val="2"/>
        <scheme val="minor"/>
      </rPr>
      <t>= "PlugConnected"</t>
    </r>
  </si>
  <si>
    <r>
      <t>plugDisconnected </t>
    </r>
    <r>
      <rPr>
        <sz val="11"/>
        <color rgb="FFD2D2D2"/>
        <rFont val="Aptos Narrow"/>
        <family val="2"/>
        <scheme val="minor"/>
      </rPr>
      <t>= "PlugDisconnected"</t>
    </r>
  </si>
  <si>
    <r>
      <t>pointScan </t>
    </r>
    <r>
      <rPr>
        <sz val="11"/>
        <color rgb="FFD2D2D2"/>
        <rFont val="Aptos Narrow"/>
        <family val="2"/>
        <scheme val="minor"/>
      </rPr>
      <t>= "PointScan"</t>
    </r>
  </si>
  <si>
    <r>
      <t>poll </t>
    </r>
    <r>
      <rPr>
        <sz val="11"/>
        <color rgb="FFD2D2D2"/>
        <rFont val="Aptos Narrow"/>
        <family val="2"/>
        <scheme val="minor"/>
      </rPr>
      <t>= "Poll"</t>
    </r>
  </si>
  <si>
    <r>
      <t>power </t>
    </r>
    <r>
      <rPr>
        <sz val="11"/>
        <color rgb="FFD2D2D2"/>
        <rFont val="Aptos Narrow"/>
        <family val="2"/>
        <scheme val="minor"/>
      </rPr>
      <t>= "Power"</t>
    </r>
  </si>
  <si>
    <r>
      <t>predictions </t>
    </r>
    <r>
      <rPr>
        <sz val="11"/>
        <color rgb="FFD2D2D2"/>
        <rFont val="Aptos Narrow"/>
        <family val="2"/>
        <scheme val="minor"/>
      </rPr>
      <t>= "Predictions"</t>
    </r>
  </si>
  <si>
    <r>
      <t>premium </t>
    </r>
    <r>
      <rPr>
        <sz val="11"/>
        <color rgb="FFD2D2D2"/>
        <rFont val="Aptos Narrow"/>
        <family val="2"/>
        <scheme val="minor"/>
      </rPr>
      <t>= "Premium"</t>
    </r>
  </si>
  <si>
    <r>
      <t>presenter </t>
    </r>
    <r>
      <rPr>
        <sz val="11"/>
        <color rgb="FFD2D2D2"/>
        <rFont val="Aptos Narrow"/>
        <family val="2"/>
        <scheme val="minor"/>
      </rPr>
      <t>= "Presenter"</t>
    </r>
  </si>
  <si>
    <r>
      <t>previewLink </t>
    </r>
    <r>
      <rPr>
        <sz val="11"/>
        <color rgb="FFD2D2D2"/>
        <rFont val="Aptos Narrow"/>
        <family val="2"/>
        <scheme val="minor"/>
      </rPr>
      <t>= "PreviewLink"</t>
    </r>
  </si>
  <si>
    <r>
      <t>print </t>
    </r>
    <r>
      <rPr>
        <sz val="11"/>
        <color rgb="FFD2D2D2"/>
        <rFont val="Aptos Narrow"/>
        <family val="2"/>
        <scheme val="minor"/>
      </rPr>
      <t>= "Print"</t>
    </r>
  </si>
  <si>
    <r>
      <t>production </t>
    </r>
    <r>
      <rPr>
        <sz val="11"/>
        <color rgb="FFD2D2D2"/>
        <rFont val="Aptos Narrow"/>
        <family val="2"/>
        <scheme val="minor"/>
      </rPr>
      <t>= "Production"</t>
    </r>
  </si>
  <si>
    <r>
      <t>prohibited </t>
    </r>
    <r>
      <rPr>
        <sz val="11"/>
        <color rgb="FFD2D2D2"/>
        <rFont val="Aptos Narrow"/>
        <family val="2"/>
        <scheme val="minor"/>
      </rPr>
      <t>= "Prohibited"</t>
    </r>
  </si>
  <si>
    <r>
      <t>projectionScreen </t>
    </r>
    <r>
      <rPr>
        <sz val="11"/>
        <color rgb="FFD2D2D2"/>
        <rFont val="Aptos Narrow"/>
        <family val="2"/>
        <scheme val="minor"/>
      </rPr>
      <t>= "ProjectionScreen"</t>
    </r>
  </si>
  <si>
    <r>
      <t>protocolHandler </t>
    </r>
    <r>
      <rPr>
        <sz val="11"/>
        <color rgb="FFD2D2D2"/>
        <rFont val="Aptos Narrow"/>
        <family val="2"/>
        <scheme val="minor"/>
      </rPr>
      <t>= "ProtocolHandler"</t>
    </r>
  </si>
  <si>
    <r>
      <t>pulse </t>
    </r>
    <r>
      <rPr>
        <sz val="11"/>
        <color rgb="FFD2D2D2"/>
        <rFont val="Aptos Narrow"/>
        <family val="2"/>
        <scheme val="minor"/>
      </rPr>
      <t>= "Pulse"</t>
    </r>
  </si>
  <si>
    <r>
      <t>pulseSquare </t>
    </r>
    <r>
      <rPr>
        <sz val="11"/>
        <color rgb="FFD2D2D2"/>
        <rFont val="Aptos Narrow"/>
        <family val="2"/>
        <scheme val="minor"/>
      </rPr>
      <t>= "PulseSquare"</t>
    </r>
  </si>
  <si>
    <r>
      <t>puzzlePiece </t>
    </r>
    <r>
      <rPr>
        <sz val="11"/>
        <color rgb="FFD2D2D2"/>
        <rFont val="Aptos Narrow"/>
        <family val="2"/>
        <scheme val="minor"/>
      </rPr>
      <t>= "PuzzlePiece"</t>
    </r>
  </si>
  <si>
    <r>
      <t>qrCode </t>
    </r>
    <r>
      <rPr>
        <sz val="11"/>
        <color rgb="FFD2D2D2"/>
        <rFont val="Aptos Narrow"/>
        <family val="2"/>
        <scheme val="minor"/>
      </rPr>
      <t>= "QrCode"</t>
    </r>
  </si>
  <si>
    <r>
      <t>radar </t>
    </r>
    <r>
      <rPr>
        <sz val="11"/>
        <color rgb="FFD2D2D2"/>
        <rFont val="Aptos Narrow"/>
        <family val="2"/>
        <scheme val="minor"/>
      </rPr>
      <t>= "Radar"</t>
    </r>
  </si>
  <si>
    <r>
      <t>ram </t>
    </r>
    <r>
      <rPr>
        <sz val="11"/>
        <color rgb="FFD2D2D2"/>
        <rFont val="Aptos Narrow"/>
        <family val="2"/>
        <scheme val="minor"/>
      </rPr>
      <t>= "Ram"</t>
    </r>
  </si>
  <si>
    <r>
      <t>readingList </t>
    </r>
    <r>
      <rPr>
        <sz val="11"/>
        <color rgb="FFD2D2D2"/>
        <rFont val="Aptos Narrow"/>
        <family val="2"/>
        <scheme val="minor"/>
      </rPr>
      <t>= "ReadingList"</t>
    </r>
  </si>
  <si>
    <r>
      <t>realEstate </t>
    </r>
    <r>
      <rPr>
        <sz val="11"/>
        <color rgb="FFD2D2D2"/>
        <rFont val="Aptos Narrow"/>
        <family val="2"/>
        <scheme val="minor"/>
      </rPr>
      <t>= "RealEstate"</t>
    </r>
  </si>
  <si>
    <r>
      <t>receipt </t>
    </r>
    <r>
      <rPr>
        <sz val="11"/>
        <color rgb="FFD2D2D2"/>
        <rFont val="Aptos Narrow"/>
        <family val="2"/>
        <scheme val="minor"/>
      </rPr>
      <t>= "Receipt"</t>
    </r>
  </si>
  <si>
    <r>
      <t>reward </t>
    </r>
    <r>
      <rPr>
        <sz val="11"/>
        <color rgb="FFD2D2D2"/>
        <rFont val="Aptos Narrow"/>
        <family val="2"/>
        <scheme val="minor"/>
      </rPr>
      <t>= "Reward"</t>
    </r>
  </si>
  <si>
    <r>
      <t>rhombus </t>
    </r>
    <r>
      <rPr>
        <sz val="11"/>
        <color rgb="FFD2D2D2"/>
        <rFont val="Aptos Narrow"/>
        <family val="2"/>
        <scheme val="minor"/>
      </rPr>
      <t>= "Rhombus"</t>
    </r>
  </si>
  <si>
    <r>
      <t>ribbon </t>
    </r>
    <r>
      <rPr>
        <sz val="11"/>
        <color rgb="FFD2D2D2"/>
        <rFont val="Aptos Narrow"/>
        <family val="2"/>
        <scheme val="minor"/>
      </rPr>
      <t>= "Ribbon"</t>
    </r>
  </si>
  <si>
    <r>
      <t>ribbonStar </t>
    </r>
    <r>
      <rPr>
        <sz val="11"/>
        <color rgb="FFD2D2D2"/>
        <rFont val="Aptos Narrow"/>
        <family val="2"/>
        <scheme val="minor"/>
      </rPr>
      <t>= "RibbonStar"</t>
    </r>
  </si>
  <si>
    <r>
      <t>roadCone </t>
    </r>
    <r>
      <rPr>
        <sz val="11"/>
        <color rgb="FFD2D2D2"/>
        <rFont val="Aptos Narrow"/>
        <family val="2"/>
        <scheme val="minor"/>
      </rPr>
      <t>= "RoadCone"</t>
    </r>
  </si>
  <si>
    <r>
      <t>rocket </t>
    </r>
    <r>
      <rPr>
        <sz val="11"/>
        <color rgb="FFD2D2D2"/>
        <rFont val="Aptos Narrow"/>
        <family val="2"/>
        <scheme val="minor"/>
      </rPr>
      <t>= "Rocket"</t>
    </r>
  </si>
  <si>
    <r>
      <t>router </t>
    </r>
    <r>
      <rPr>
        <sz val="11"/>
        <color rgb="FFD2D2D2"/>
        <rFont val="Aptos Narrow"/>
        <family val="2"/>
        <scheme val="minor"/>
      </rPr>
      <t>= "Router"</t>
    </r>
  </si>
  <si>
    <r>
      <t>rss </t>
    </r>
    <r>
      <rPr>
        <sz val="11"/>
        <color rgb="FFD2D2D2"/>
        <rFont val="Aptos Narrow"/>
        <family val="2"/>
        <scheme val="minor"/>
      </rPr>
      <t>= "Rss"</t>
    </r>
  </si>
  <si>
    <r>
      <t>ruler </t>
    </r>
    <r>
      <rPr>
        <sz val="11"/>
        <color rgb="FFD2D2D2"/>
        <rFont val="Aptos Narrow"/>
        <family val="2"/>
        <scheme val="minor"/>
      </rPr>
      <t>= "Ruler"</t>
    </r>
  </si>
  <si>
    <r>
      <t>run </t>
    </r>
    <r>
      <rPr>
        <sz val="11"/>
        <color rgb="FFD2D2D2"/>
        <rFont val="Aptos Narrow"/>
        <family val="2"/>
        <scheme val="minor"/>
      </rPr>
      <t>= "Run"</t>
    </r>
  </si>
  <si>
    <r>
      <t>running </t>
    </r>
    <r>
      <rPr>
        <sz val="11"/>
        <color rgb="FFD2D2D2"/>
        <rFont val="Aptos Narrow"/>
        <family val="2"/>
        <scheme val="minor"/>
      </rPr>
      <t>= "Running"</t>
    </r>
  </si>
  <si>
    <r>
      <t>satellite </t>
    </r>
    <r>
      <rPr>
        <sz val="11"/>
        <color rgb="FFD2D2D2"/>
        <rFont val="Aptos Narrow"/>
        <family val="2"/>
        <scheme val="minor"/>
      </rPr>
      <t>= "Satellite"</t>
    </r>
  </si>
  <si>
    <r>
      <t>save </t>
    </r>
    <r>
      <rPr>
        <sz val="11"/>
        <color rgb="FFD2D2D2"/>
        <rFont val="Aptos Narrow"/>
        <family val="2"/>
        <scheme val="minor"/>
      </rPr>
      <t>= "Save"</t>
    </r>
  </si>
  <si>
    <r>
      <t>savings </t>
    </r>
    <r>
      <rPr>
        <sz val="11"/>
        <color rgb="FFD2D2D2"/>
        <rFont val="Aptos Narrow"/>
        <family val="2"/>
        <scheme val="minor"/>
      </rPr>
      <t>= "Savings"</t>
    </r>
  </si>
  <si>
    <r>
      <t>scales </t>
    </r>
    <r>
      <rPr>
        <sz val="11"/>
        <color rgb="FFD2D2D2"/>
        <rFont val="Aptos Narrow"/>
        <family val="2"/>
        <scheme val="minor"/>
      </rPr>
      <t>= "Scales"</t>
    </r>
  </si>
  <si>
    <r>
      <t>scan </t>
    </r>
    <r>
      <rPr>
        <sz val="11"/>
        <color rgb="FFD2D2D2"/>
        <rFont val="Aptos Narrow"/>
        <family val="2"/>
        <scheme val="minor"/>
      </rPr>
      <t>= "Scan"</t>
    </r>
  </si>
  <si>
    <r>
      <t>scratchpad </t>
    </r>
    <r>
      <rPr>
        <sz val="11"/>
        <color rgb="FFD2D2D2"/>
        <rFont val="Aptos Narrow"/>
        <family val="2"/>
        <scheme val="minor"/>
      </rPr>
      <t>= "Scratchpad"</t>
    </r>
  </si>
  <si>
    <r>
      <t>screenPerson </t>
    </r>
    <r>
      <rPr>
        <sz val="11"/>
        <color rgb="FFD2D2D2"/>
        <rFont val="Aptos Narrow"/>
        <family val="2"/>
        <scheme val="minor"/>
      </rPr>
      <t>= "ScreenPerson"</t>
    </r>
  </si>
  <si>
    <r>
      <t>screenshot </t>
    </r>
    <r>
      <rPr>
        <sz val="11"/>
        <color rgb="FFD2D2D2"/>
        <rFont val="Aptos Narrow"/>
        <family val="2"/>
        <scheme val="minor"/>
      </rPr>
      <t>= "Screenshot"</t>
    </r>
  </si>
  <si>
    <r>
      <t>search </t>
    </r>
    <r>
      <rPr>
        <sz val="11"/>
        <color rgb="FFD2D2D2"/>
        <rFont val="Aptos Narrow"/>
        <family val="2"/>
        <scheme val="minor"/>
      </rPr>
      <t>= "Search"</t>
    </r>
  </si>
  <si>
    <r>
      <t>serialPort </t>
    </r>
    <r>
      <rPr>
        <sz val="11"/>
        <color rgb="FFD2D2D2"/>
        <rFont val="Aptos Narrow"/>
        <family val="2"/>
        <scheme val="minor"/>
      </rPr>
      <t>= "SerialPort"</t>
    </r>
  </si>
  <si>
    <r>
      <t>server </t>
    </r>
    <r>
      <rPr>
        <sz val="11"/>
        <color rgb="FFD2D2D2"/>
        <rFont val="Aptos Narrow"/>
        <family val="2"/>
        <scheme val="minor"/>
      </rPr>
      <t>= "Server"</t>
    </r>
  </si>
  <si>
    <r>
      <t>serverMultiple </t>
    </r>
    <r>
      <rPr>
        <sz val="11"/>
        <color rgb="FFD2D2D2"/>
        <rFont val="Aptos Narrow"/>
        <family val="2"/>
        <scheme val="minor"/>
      </rPr>
      <t>= "ServerMultiple"</t>
    </r>
  </si>
  <si>
    <r>
      <t>serviceBell </t>
    </r>
    <r>
      <rPr>
        <sz val="11"/>
        <color rgb="FFD2D2D2"/>
        <rFont val="Aptos Narrow"/>
        <family val="2"/>
        <scheme val="minor"/>
      </rPr>
      <t>= "ServiceBell"</t>
    </r>
  </si>
  <si>
    <r>
      <t>settings </t>
    </r>
    <r>
      <rPr>
        <sz val="11"/>
        <color rgb="FFD2D2D2"/>
        <rFont val="Aptos Narrow"/>
        <family val="2"/>
        <scheme val="minor"/>
      </rPr>
      <t>= "Settings"</t>
    </r>
  </si>
  <si>
    <r>
      <t>shapes </t>
    </r>
    <r>
      <rPr>
        <sz val="11"/>
        <color rgb="FFD2D2D2"/>
        <rFont val="Aptos Narrow"/>
        <family val="2"/>
        <scheme val="minor"/>
      </rPr>
      <t>= "Shapes"</t>
    </r>
  </si>
  <si>
    <r>
      <t>shield </t>
    </r>
    <r>
      <rPr>
        <sz val="11"/>
        <color rgb="FFD2D2D2"/>
        <rFont val="Aptos Narrow"/>
        <family val="2"/>
        <scheme val="minor"/>
      </rPr>
      <t>= "Shield"</t>
    </r>
  </si>
  <si>
    <r>
      <t>shieldTask </t>
    </r>
    <r>
      <rPr>
        <sz val="11"/>
        <color rgb="FFD2D2D2"/>
        <rFont val="Aptos Narrow"/>
        <family val="2"/>
        <scheme val="minor"/>
      </rPr>
      <t>= "ShieldTask"</t>
    </r>
  </si>
  <si>
    <r>
      <t>shoppingBag </t>
    </r>
    <r>
      <rPr>
        <sz val="11"/>
        <color rgb="FFD2D2D2"/>
        <rFont val="Aptos Narrow"/>
        <family val="2"/>
        <scheme val="minor"/>
      </rPr>
      <t>= "ShoppingBag"</t>
    </r>
  </si>
  <si>
    <r>
      <t>signature </t>
    </r>
    <r>
      <rPr>
        <sz val="11"/>
        <color rgb="FFD2D2D2"/>
        <rFont val="Aptos Narrow"/>
        <family val="2"/>
        <scheme val="minor"/>
      </rPr>
      <t>= "Signature"</t>
    </r>
  </si>
  <si>
    <r>
      <t>sim </t>
    </r>
    <r>
      <rPr>
        <sz val="11"/>
        <color rgb="FFD2D2D2"/>
        <rFont val="Aptos Narrow"/>
        <family val="2"/>
        <scheme val="minor"/>
      </rPr>
      <t>= "Sim"</t>
    </r>
  </si>
  <si>
    <r>
      <t>sleep </t>
    </r>
    <r>
      <rPr>
        <sz val="11"/>
        <color rgb="FFD2D2D2"/>
        <rFont val="Aptos Narrow"/>
        <family val="2"/>
        <scheme val="minor"/>
      </rPr>
      <t>= "Sleep"</t>
    </r>
  </si>
  <si>
    <r>
      <t>smartwatch </t>
    </r>
    <r>
      <rPr>
        <sz val="11"/>
        <color rgb="FFD2D2D2"/>
        <rFont val="Aptos Narrow"/>
        <family val="2"/>
        <scheme val="minor"/>
      </rPr>
      <t>= "Smartwatch"</t>
    </r>
  </si>
  <si>
    <r>
      <t>soundSource </t>
    </r>
    <r>
      <rPr>
        <sz val="11"/>
        <color rgb="FFD2D2D2"/>
        <rFont val="Aptos Narrow"/>
        <family val="2"/>
        <scheme val="minor"/>
      </rPr>
      <t>= "SoundSource"</t>
    </r>
  </si>
  <si>
    <r>
      <t>soundWaveCircle </t>
    </r>
    <r>
      <rPr>
        <sz val="11"/>
        <color rgb="FFD2D2D2"/>
        <rFont val="Aptos Narrow"/>
        <family val="2"/>
        <scheme val="minor"/>
      </rPr>
      <t>= "SoundWaveCircle"</t>
    </r>
  </si>
  <si>
    <r>
      <t>sparkle </t>
    </r>
    <r>
      <rPr>
        <sz val="11"/>
        <color rgb="FFD2D2D2"/>
        <rFont val="Aptos Narrow"/>
        <family val="2"/>
        <scheme val="minor"/>
      </rPr>
      <t>= "Sparkle"</t>
    </r>
  </si>
  <si>
    <r>
      <t>speaker0 </t>
    </r>
    <r>
      <rPr>
        <sz val="11"/>
        <color rgb="FFD2D2D2"/>
        <rFont val="Aptos Narrow"/>
        <family val="2"/>
        <scheme val="minor"/>
      </rPr>
      <t>= "Speaker0"</t>
    </r>
  </si>
  <si>
    <r>
      <t>speaker2 </t>
    </r>
    <r>
      <rPr>
        <sz val="11"/>
        <color rgb="FFD2D2D2"/>
        <rFont val="Aptos Narrow"/>
        <family val="2"/>
        <scheme val="minor"/>
      </rPr>
      <t>= "Speaker2"</t>
    </r>
  </si>
  <si>
    <r>
      <t>sport </t>
    </r>
    <r>
      <rPr>
        <sz val="11"/>
        <color rgb="FFD2D2D2"/>
        <rFont val="Aptos Narrow"/>
        <family val="2"/>
        <scheme val="minor"/>
      </rPr>
      <t>= "Sport"</t>
    </r>
  </si>
  <si>
    <r>
      <t>sportAmericanFootball </t>
    </r>
    <r>
      <rPr>
        <sz val="11"/>
        <color rgb="FFD2D2D2"/>
        <rFont val="Aptos Narrow"/>
        <family val="2"/>
        <scheme val="minor"/>
      </rPr>
      <t>= "SportAmericanFootball"</t>
    </r>
  </si>
  <si>
    <r>
      <t>sportBaseball </t>
    </r>
    <r>
      <rPr>
        <sz val="11"/>
        <color rgb="FFD2D2D2"/>
        <rFont val="Aptos Narrow"/>
        <family val="2"/>
        <scheme val="minor"/>
      </rPr>
      <t>= "SportBaseball"</t>
    </r>
  </si>
  <si>
    <r>
      <t>sportBasketball </t>
    </r>
    <r>
      <rPr>
        <sz val="11"/>
        <color rgb="FFD2D2D2"/>
        <rFont val="Aptos Narrow"/>
        <family val="2"/>
        <scheme val="minor"/>
      </rPr>
      <t>= "SportBasketball"</t>
    </r>
  </si>
  <si>
    <r>
      <t>sportHockey </t>
    </r>
    <r>
      <rPr>
        <sz val="11"/>
        <color rgb="FFD2D2D2"/>
        <rFont val="Aptos Narrow"/>
        <family val="2"/>
        <scheme val="minor"/>
      </rPr>
      <t>= "SportHockey"</t>
    </r>
  </si>
  <si>
    <r>
      <t>sportSoccer </t>
    </r>
    <r>
      <rPr>
        <sz val="11"/>
        <color rgb="FFD2D2D2"/>
        <rFont val="Aptos Narrow"/>
        <family val="2"/>
        <scheme val="minor"/>
      </rPr>
      <t>= "SportSoccer"</t>
    </r>
  </si>
  <si>
    <r>
      <t>squareMultiple </t>
    </r>
    <r>
      <rPr>
        <sz val="11"/>
        <color rgb="FFD2D2D2"/>
        <rFont val="Aptos Narrow"/>
        <family val="2"/>
        <scheme val="minor"/>
      </rPr>
      <t>= "SquareMultiple"</t>
    </r>
  </si>
  <si>
    <r>
      <t>squareShadow </t>
    </r>
    <r>
      <rPr>
        <sz val="11"/>
        <color rgb="FFD2D2D2"/>
        <rFont val="Aptos Narrow"/>
        <family val="2"/>
        <scheme val="minor"/>
      </rPr>
      <t>= "SquareShadow"</t>
    </r>
  </si>
  <si>
    <r>
      <t>squaresNested </t>
    </r>
    <r>
      <rPr>
        <sz val="11"/>
        <color rgb="FFD2D2D2"/>
        <rFont val="Aptos Narrow"/>
        <family val="2"/>
        <scheme val="minor"/>
      </rPr>
      <t>= "SquaresNested"</t>
    </r>
  </si>
  <si>
    <r>
      <t>stack </t>
    </r>
    <r>
      <rPr>
        <sz val="11"/>
        <color rgb="FFD2D2D2"/>
        <rFont val="Aptos Narrow"/>
        <family val="2"/>
        <scheme val="minor"/>
      </rPr>
      <t>= "Stack"</t>
    </r>
  </si>
  <si>
    <r>
      <t>stackStar </t>
    </r>
    <r>
      <rPr>
        <sz val="11"/>
        <color rgb="FFD2D2D2"/>
        <rFont val="Aptos Narrow"/>
        <family val="2"/>
        <scheme val="minor"/>
      </rPr>
      <t>= "StackStar"</t>
    </r>
  </si>
  <si>
    <r>
      <t>star </t>
    </r>
    <r>
      <rPr>
        <sz val="11"/>
        <color rgb="FFD2D2D2"/>
        <rFont val="Aptos Narrow"/>
        <family val="2"/>
        <scheme val="minor"/>
      </rPr>
      <t>= "Star"</t>
    </r>
  </si>
  <si>
    <r>
      <t>starFilled </t>
    </r>
    <r>
      <rPr>
        <sz val="11"/>
        <color rgb="FFD2D2D2"/>
        <rFont val="Aptos Narrow"/>
        <family val="2"/>
        <scheme val="minor"/>
      </rPr>
      <t>= "StarFilled"</t>
    </r>
  </si>
  <si>
    <r>
      <t>starHalf </t>
    </r>
    <r>
      <rPr>
        <sz val="11"/>
        <color rgb="FFD2D2D2"/>
        <rFont val="Aptos Narrow"/>
        <family val="2"/>
        <scheme val="minor"/>
      </rPr>
      <t>= "StarHalf"</t>
    </r>
  </si>
  <si>
    <r>
      <t>starLineHorizontal3 </t>
    </r>
    <r>
      <rPr>
        <sz val="11"/>
        <color rgb="FFD2D2D2"/>
        <rFont val="Aptos Narrow"/>
        <family val="2"/>
        <scheme val="minor"/>
      </rPr>
      <t>= "StarLineHorizontal3"</t>
    </r>
  </si>
  <si>
    <r>
      <t>starOneQuarter </t>
    </r>
    <r>
      <rPr>
        <sz val="11"/>
        <color rgb="FFD2D2D2"/>
        <rFont val="Aptos Narrow"/>
        <family val="2"/>
        <scheme val="minor"/>
      </rPr>
      <t>= "StarOneQuarter"</t>
    </r>
  </si>
  <si>
    <r>
      <t>starThreeQuarter </t>
    </r>
    <r>
      <rPr>
        <sz val="11"/>
        <color rgb="FFD2D2D2"/>
        <rFont val="Aptos Narrow"/>
        <family val="2"/>
        <scheme val="minor"/>
      </rPr>
      <t>= "StarThreeQuarter"</t>
    </r>
  </si>
  <si>
    <r>
      <t>status </t>
    </r>
    <r>
      <rPr>
        <sz val="11"/>
        <color rgb="FFD2D2D2"/>
        <rFont val="Aptos Narrow"/>
        <family val="2"/>
        <scheme val="minor"/>
      </rPr>
      <t>= "Status"</t>
    </r>
  </si>
  <si>
    <r>
      <t>steps </t>
    </r>
    <r>
      <rPr>
        <sz val="11"/>
        <color rgb="FFD2D2D2"/>
        <rFont val="Aptos Narrow"/>
        <family val="2"/>
        <scheme val="minor"/>
      </rPr>
      <t>= "Steps"</t>
    </r>
  </si>
  <si>
    <r>
      <t>stethoscope </t>
    </r>
    <r>
      <rPr>
        <sz val="11"/>
        <color rgb="FFD2D2D2"/>
        <rFont val="Aptos Narrow"/>
        <family val="2"/>
        <scheme val="minor"/>
      </rPr>
      <t>= "Stethoscope"</t>
    </r>
  </si>
  <si>
    <r>
      <t>sticker </t>
    </r>
    <r>
      <rPr>
        <sz val="11"/>
        <color rgb="FFD2D2D2"/>
        <rFont val="Aptos Narrow"/>
        <family val="2"/>
        <scheme val="minor"/>
      </rPr>
      <t>= "Sticker"</t>
    </r>
  </si>
  <si>
    <r>
      <t>storage </t>
    </r>
    <r>
      <rPr>
        <sz val="11"/>
        <color rgb="FFD2D2D2"/>
        <rFont val="Aptos Narrow"/>
        <family val="2"/>
        <scheme val="minor"/>
      </rPr>
      <t>= "Storage"</t>
    </r>
  </si>
  <si>
    <r>
      <t>stream </t>
    </r>
    <r>
      <rPr>
        <sz val="11"/>
        <color rgb="FFD2D2D2"/>
        <rFont val="Aptos Narrow"/>
        <family val="2"/>
        <scheme val="minor"/>
      </rPr>
      <t>= "Stream"</t>
    </r>
  </si>
  <si>
    <r>
      <t>streamInput </t>
    </r>
    <r>
      <rPr>
        <sz val="11"/>
        <color rgb="FFD2D2D2"/>
        <rFont val="Aptos Narrow"/>
        <family val="2"/>
        <scheme val="minor"/>
      </rPr>
      <t>= "StreamInput"</t>
    </r>
  </si>
  <si>
    <r>
      <t>streamInputOutput </t>
    </r>
    <r>
      <rPr>
        <sz val="11"/>
        <color rgb="FFD2D2D2"/>
        <rFont val="Aptos Narrow"/>
        <family val="2"/>
        <scheme val="minor"/>
      </rPr>
      <t>= "StreamInputOutput"</t>
    </r>
  </si>
  <si>
    <r>
      <t>streamOutput </t>
    </r>
    <r>
      <rPr>
        <sz val="11"/>
        <color rgb="FFD2D2D2"/>
        <rFont val="Aptos Narrow"/>
        <family val="2"/>
        <scheme val="minor"/>
      </rPr>
      <t>= "StreamOutput"</t>
    </r>
  </si>
  <si>
    <r>
      <t>styleGuide </t>
    </r>
    <r>
      <rPr>
        <sz val="11"/>
        <color rgb="FFD2D2D2"/>
        <rFont val="Aptos Narrow"/>
        <family val="2"/>
        <scheme val="minor"/>
      </rPr>
      <t>= "StyleGuide"</t>
    </r>
  </si>
  <si>
    <r>
      <t>subGrid </t>
    </r>
    <r>
      <rPr>
        <sz val="11"/>
        <color rgb="FFD2D2D2"/>
        <rFont val="Aptos Narrow"/>
        <family val="2"/>
        <scheme val="minor"/>
      </rPr>
      <t>= "SubGrid"</t>
    </r>
  </si>
  <si>
    <r>
      <t>subtitles </t>
    </r>
    <r>
      <rPr>
        <sz val="11"/>
        <color rgb="FFD2D2D2"/>
        <rFont val="Aptos Narrow"/>
        <family val="2"/>
        <scheme val="minor"/>
      </rPr>
      <t>= "Subtitles"</t>
    </r>
  </si>
  <si>
    <r>
      <t>surfaceEarbuds </t>
    </r>
    <r>
      <rPr>
        <sz val="11"/>
        <color rgb="FFD2D2D2"/>
        <rFont val="Aptos Narrow"/>
        <family val="2"/>
        <scheme val="minor"/>
      </rPr>
      <t>= "SurfaceEarbuds"</t>
    </r>
  </si>
  <si>
    <r>
      <t>surfaceHub </t>
    </r>
    <r>
      <rPr>
        <sz val="11"/>
        <color rgb="FFD2D2D2"/>
        <rFont val="Aptos Narrow"/>
        <family val="2"/>
        <scheme val="minor"/>
      </rPr>
      <t>= "SurfaceHub"</t>
    </r>
  </si>
  <si>
    <r>
      <t>symbols </t>
    </r>
    <r>
      <rPr>
        <sz val="11"/>
        <color rgb="FFD2D2D2"/>
        <rFont val="Aptos Narrow"/>
        <family val="2"/>
        <scheme val="minor"/>
      </rPr>
      <t>= "Symbols"</t>
    </r>
  </si>
  <si>
    <r>
      <t>syringe </t>
    </r>
    <r>
      <rPr>
        <sz val="11"/>
        <color rgb="FFD2D2D2"/>
        <rFont val="Aptos Narrow"/>
        <family val="2"/>
        <scheme val="minor"/>
      </rPr>
      <t>= "Syringe"</t>
    </r>
  </si>
  <si>
    <r>
      <t>system </t>
    </r>
    <r>
      <rPr>
        <sz val="11"/>
        <color rgb="FFD2D2D2"/>
        <rFont val="Aptos Narrow"/>
        <family val="2"/>
        <scheme val="minor"/>
      </rPr>
      <t>= "System"</t>
    </r>
  </si>
  <si>
    <r>
      <t>tabDesktop </t>
    </r>
    <r>
      <rPr>
        <sz val="11"/>
        <color rgb="FFD2D2D2"/>
        <rFont val="Aptos Narrow"/>
        <family val="2"/>
        <scheme val="minor"/>
      </rPr>
      <t>= "TabDesktop"</t>
    </r>
  </si>
  <si>
    <r>
      <t>tabInprivateAccount </t>
    </r>
    <r>
      <rPr>
        <sz val="11"/>
        <color rgb="FFD2D2D2"/>
        <rFont val="Aptos Narrow"/>
        <family val="2"/>
        <scheme val="minor"/>
      </rPr>
      <t>= "TabInprivateAccount"</t>
    </r>
  </si>
  <si>
    <r>
      <t>table </t>
    </r>
    <r>
      <rPr>
        <sz val="11"/>
        <color rgb="FFD2D2D2"/>
        <rFont val="Aptos Narrow"/>
        <family val="2"/>
        <scheme val="minor"/>
      </rPr>
      <t>= "Table"</t>
    </r>
  </si>
  <si>
    <r>
      <t>tableImage </t>
    </r>
    <r>
      <rPr>
        <sz val="11"/>
        <color rgb="FFD2D2D2"/>
        <rFont val="Aptos Narrow"/>
        <family val="2"/>
        <scheme val="minor"/>
      </rPr>
      <t>= "TableImage"</t>
    </r>
  </si>
  <si>
    <r>
      <t>tableMultiple </t>
    </r>
    <r>
      <rPr>
        <sz val="11"/>
        <color rgb="FFD2D2D2"/>
        <rFont val="Aptos Narrow"/>
        <family val="2"/>
        <scheme val="minor"/>
      </rPr>
      <t>= "TableMultiple"</t>
    </r>
  </si>
  <si>
    <r>
      <t>tablet </t>
    </r>
    <r>
      <rPr>
        <sz val="11"/>
        <color rgb="FFD2D2D2"/>
        <rFont val="Aptos Narrow"/>
        <family val="2"/>
        <scheme val="minor"/>
      </rPr>
      <t>= "Tablet"</t>
    </r>
  </si>
  <si>
    <r>
      <t>tabs </t>
    </r>
    <r>
      <rPr>
        <sz val="11"/>
        <color rgb="FFD2D2D2"/>
        <rFont val="Aptos Narrow"/>
        <family val="2"/>
        <scheme val="minor"/>
      </rPr>
      <t>= "Tabs"</t>
    </r>
  </si>
  <si>
    <r>
      <t>tag </t>
    </r>
    <r>
      <rPr>
        <sz val="11"/>
        <color rgb="FFD2D2D2"/>
        <rFont val="Aptos Narrow"/>
        <family val="2"/>
        <scheme val="minor"/>
      </rPr>
      <t>= "Tag"</t>
    </r>
  </si>
  <si>
    <r>
      <t>tagCircle </t>
    </r>
    <r>
      <rPr>
        <sz val="11"/>
        <color rgb="FFD2D2D2"/>
        <rFont val="Aptos Narrow"/>
        <family val="2"/>
        <scheme val="minor"/>
      </rPr>
      <t>= "TagCircle"</t>
    </r>
  </si>
  <si>
    <r>
      <t>tagMultiple </t>
    </r>
    <r>
      <rPr>
        <sz val="11"/>
        <color rgb="FFD2D2D2"/>
        <rFont val="Aptos Narrow"/>
        <family val="2"/>
        <scheme val="minor"/>
      </rPr>
      <t>= "TagMultiple"</t>
    </r>
  </si>
  <si>
    <r>
      <t>target </t>
    </r>
    <r>
      <rPr>
        <sz val="11"/>
        <color rgb="FFD2D2D2"/>
        <rFont val="Aptos Narrow"/>
        <family val="2"/>
        <scheme val="minor"/>
      </rPr>
      <t>= "Target"</t>
    </r>
  </si>
  <si>
    <r>
      <t>targetArrow </t>
    </r>
    <r>
      <rPr>
        <sz val="11"/>
        <color rgb="FFD2D2D2"/>
        <rFont val="Aptos Narrow"/>
        <family val="2"/>
        <scheme val="minor"/>
      </rPr>
      <t>= "TargetArrow"</t>
    </r>
  </si>
  <si>
    <r>
      <t>teddy </t>
    </r>
    <r>
      <rPr>
        <sz val="11"/>
        <color rgb="FFD2D2D2"/>
        <rFont val="Aptos Narrow"/>
        <family val="2"/>
        <scheme val="minor"/>
      </rPr>
      <t>= "Teddy"</t>
    </r>
  </si>
  <si>
    <r>
      <t>temperature </t>
    </r>
    <r>
      <rPr>
        <sz val="11"/>
        <color rgb="FFD2D2D2"/>
        <rFont val="Aptos Narrow"/>
        <family val="2"/>
        <scheme val="minor"/>
      </rPr>
      <t>= "Temperature"</t>
    </r>
  </si>
  <si>
    <r>
      <t>tent </t>
    </r>
    <r>
      <rPr>
        <sz val="11"/>
        <color rgb="FFD2D2D2"/>
        <rFont val="Aptos Narrow"/>
        <family val="2"/>
        <scheme val="minor"/>
      </rPr>
      <t>= "Tent"</t>
    </r>
  </si>
  <si>
    <r>
      <t>tetrisApp </t>
    </r>
    <r>
      <rPr>
        <sz val="11"/>
        <color rgb="FFD2D2D2"/>
        <rFont val="Aptos Narrow"/>
        <family val="2"/>
        <scheme val="minor"/>
      </rPr>
      <t>= "TetrisApp"</t>
    </r>
  </si>
  <si>
    <r>
      <t>textbox </t>
    </r>
    <r>
      <rPr>
        <sz val="11"/>
        <color rgb="FFD2D2D2"/>
        <rFont val="Aptos Narrow"/>
        <family val="2"/>
        <scheme val="minor"/>
      </rPr>
      <t>= "Textbox"</t>
    </r>
  </si>
  <si>
    <r>
      <t>textQuote </t>
    </r>
    <r>
      <rPr>
        <sz val="11"/>
        <color rgb="FFD2D2D2"/>
        <rFont val="Aptos Narrow"/>
        <family val="2"/>
        <scheme val="minor"/>
      </rPr>
      <t>= "TextQuote"</t>
    </r>
  </si>
  <si>
    <r>
      <t>thinking </t>
    </r>
    <r>
      <rPr>
        <sz val="11"/>
        <color rgb="FFD2D2D2"/>
        <rFont val="Aptos Narrow"/>
        <family val="2"/>
        <scheme val="minor"/>
      </rPr>
      <t>= "Thinking"</t>
    </r>
  </si>
  <si>
    <r>
      <t>thumbDislike </t>
    </r>
    <r>
      <rPr>
        <sz val="11"/>
        <color rgb="FFD2D2D2"/>
        <rFont val="Aptos Narrow"/>
        <family val="2"/>
        <scheme val="minor"/>
      </rPr>
      <t>= "ThumbDislike"</t>
    </r>
  </si>
  <si>
    <r>
      <t>thumbLike </t>
    </r>
    <r>
      <rPr>
        <sz val="11"/>
        <color rgb="FFD2D2D2"/>
        <rFont val="Aptos Narrow"/>
        <family val="2"/>
        <scheme val="minor"/>
      </rPr>
      <t>= "ThumbLike"</t>
    </r>
  </si>
  <si>
    <r>
      <t>ticketDiagonal </t>
    </r>
    <r>
      <rPr>
        <sz val="11"/>
        <color rgb="FFD2D2D2"/>
        <rFont val="Aptos Narrow"/>
        <family val="2"/>
        <scheme val="minor"/>
      </rPr>
      <t>= "TicketDiagonal"</t>
    </r>
  </si>
  <si>
    <r>
      <t>ticketHorizontal </t>
    </r>
    <r>
      <rPr>
        <sz val="11"/>
        <color rgb="FFD2D2D2"/>
        <rFont val="Aptos Narrow"/>
        <family val="2"/>
        <scheme val="minor"/>
      </rPr>
      <t>= "TicketHorizontal"</t>
    </r>
  </si>
  <si>
    <r>
      <t>timeAndWeather </t>
    </r>
    <r>
      <rPr>
        <sz val="11"/>
        <color rgb="FFD2D2D2"/>
        <rFont val="Aptos Narrow"/>
        <family val="2"/>
        <scheme val="minor"/>
      </rPr>
      <t>= "TimeAndWeather"</t>
    </r>
  </si>
  <si>
    <r>
      <t>timeline </t>
    </r>
    <r>
      <rPr>
        <sz val="11"/>
        <color rgb="FFD2D2D2"/>
        <rFont val="Aptos Narrow"/>
        <family val="2"/>
        <scheme val="minor"/>
      </rPr>
      <t>= "Timeline"</t>
    </r>
  </si>
  <si>
    <r>
      <t>timer </t>
    </r>
    <r>
      <rPr>
        <sz val="11"/>
        <color rgb="FFD2D2D2"/>
        <rFont val="Aptos Narrow"/>
        <family val="2"/>
        <scheme val="minor"/>
      </rPr>
      <t>= "Timer"</t>
    </r>
  </si>
  <si>
    <r>
      <t>toolbox </t>
    </r>
    <r>
      <rPr>
        <sz val="11"/>
        <color rgb="FFD2D2D2"/>
        <rFont val="Aptos Narrow"/>
        <family val="2"/>
        <scheme val="minor"/>
      </rPr>
      <t>= "Toolbox"</t>
    </r>
  </si>
  <si>
    <r>
      <t>topSpeed </t>
    </r>
    <r>
      <rPr>
        <sz val="11"/>
        <color rgb="FFD2D2D2"/>
        <rFont val="Aptos Narrow"/>
        <family val="2"/>
        <scheme val="minor"/>
      </rPr>
      <t>= "TopSpeed"</t>
    </r>
  </si>
  <si>
    <r>
      <t>translate </t>
    </r>
    <r>
      <rPr>
        <sz val="11"/>
        <color rgb="FFD2D2D2"/>
        <rFont val="Aptos Narrow"/>
        <family val="2"/>
        <scheme val="minor"/>
      </rPr>
      <t>= "Translate"</t>
    </r>
  </si>
  <si>
    <r>
      <t>transmission </t>
    </r>
    <r>
      <rPr>
        <sz val="11"/>
        <color rgb="FFD2D2D2"/>
        <rFont val="Aptos Narrow"/>
        <family val="2"/>
        <scheme val="minor"/>
      </rPr>
      <t>= "Transmission"</t>
    </r>
  </si>
  <si>
    <r>
      <t>treeDeciduous </t>
    </r>
    <r>
      <rPr>
        <sz val="11"/>
        <color rgb="FFD2D2D2"/>
        <rFont val="Aptos Narrow"/>
        <family val="2"/>
        <scheme val="minor"/>
      </rPr>
      <t>= "TreeDeciduous"</t>
    </r>
  </si>
  <si>
    <r>
      <t>treeEvergreen </t>
    </r>
    <r>
      <rPr>
        <sz val="11"/>
        <color rgb="FFD2D2D2"/>
        <rFont val="Aptos Narrow"/>
        <family val="2"/>
        <scheme val="minor"/>
      </rPr>
      <t>= "TreeEvergreen"</t>
    </r>
  </si>
  <si>
    <r>
      <t>trophy </t>
    </r>
    <r>
      <rPr>
        <sz val="11"/>
        <color rgb="FFD2D2D2"/>
        <rFont val="Aptos Narrow"/>
        <family val="2"/>
        <scheme val="minor"/>
      </rPr>
      <t>= "Trophy"</t>
    </r>
  </si>
  <si>
    <r>
      <t>tv </t>
    </r>
    <r>
      <rPr>
        <sz val="11"/>
        <color rgb="FFD2D2D2"/>
        <rFont val="Aptos Narrow"/>
        <family val="2"/>
        <scheme val="minor"/>
      </rPr>
      <t>= "Tv"</t>
    </r>
  </si>
  <si>
    <r>
      <t>tvUsb </t>
    </r>
    <r>
      <rPr>
        <sz val="11"/>
        <color rgb="FFD2D2D2"/>
        <rFont val="Aptos Narrow"/>
        <family val="2"/>
        <scheme val="minor"/>
      </rPr>
      <t>= "TvUsb"</t>
    </r>
  </si>
  <si>
    <r>
      <t>umbrella </t>
    </r>
    <r>
      <rPr>
        <sz val="11"/>
        <color rgb="FFD2D2D2"/>
        <rFont val="Aptos Narrow"/>
        <family val="2"/>
        <scheme val="minor"/>
      </rPr>
      <t>= "Umbrella"</t>
    </r>
  </si>
  <si>
    <r>
      <t>usbPlug </t>
    </r>
    <r>
      <rPr>
        <sz val="11"/>
        <color rgb="FFD2D2D2"/>
        <rFont val="Aptos Narrow"/>
        <family val="2"/>
        <scheme val="minor"/>
      </rPr>
      <t>= "UsbPlug"</t>
    </r>
  </si>
  <si>
    <r>
      <t>usbStick </t>
    </r>
    <r>
      <rPr>
        <sz val="11"/>
        <color rgb="FFD2D2D2"/>
        <rFont val="Aptos Narrow"/>
        <family val="2"/>
        <scheme val="minor"/>
      </rPr>
      <t>= "UsbStick"</t>
    </r>
  </si>
  <si>
    <r>
      <t>vault </t>
    </r>
    <r>
      <rPr>
        <sz val="11"/>
        <color rgb="FFD2D2D2"/>
        <rFont val="Aptos Narrow"/>
        <family val="2"/>
        <scheme val="minor"/>
      </rPr>
      <t>= "Vault"</t>
    </r>
  </si>
  <si>
    <r>
      <t>vehicleBicycle </t>
    </r>
    <r>
      <rPr>
        <sz val="11"/>
        <color rgb="FFD2D2D2"/>
        <rFont val="Aptos Narrow"/>
        <family val="2"/>
        <scheme val="minor"/>
      </rPr>
      <t>= "VehicleBicycle"</t>
    </r>
  </si>
  <si>
    <r>
      <t>vehicleBus </t>
    </r>
    <r>
      <rPr>
        <sz val="11"/>
        <color rgb="FFD2D2D2"/>
        <rFont val="Aptos Narrow"/>
        <family val="2"/>
        <scheme val="minor"/>
      </rPr>
      <t>= "VehicleBus"</t>
    </r>
  </si>
  <si>
    <r>
      <t>vehicleCab </t>
    </r>
    <r>
      <rPr>
        <sz val="11"/>
        <color rgb="FFD2D2D2"/>
        <rFont val="Aptos Narrow"/>
        <family val="2"/>
        <scheme val="minor"/>
      </rPr>
      <t>= "VehicleCab"</t>
    </r>
  </si>
  <si>
    <r>
      <t>vehicleCar </t>
    </r>
    <r>
      <rPr>
        <sz val="11"/>
        <color rgb="FFD2D2D2"/>
        <rFont val="Aptos Narrow"/>
        <family val="2"/>
        <scheme val="minor"/>
      </rPr>
      <t>= "VehicleCar"</t>
    </r>
  </si>
  <si>
    <r>
      <t>vehicleCarCollision </t>
    </r>
    <r>
      <rPr>
        <sz val="11"/>
        <color rgb="FFD2D2D2"/>
        <rFont val="Aptos Narrow"/>
        <family val="2"/>
        <scheme val="minor"/>
      </rPr>
      <t>= "VehicleCarCollision"</t>
    </r>
  </si>
  <si>
    <r>
      <t>vehicleCarProfileLtr </t>
    </r>
    <r>
      <rPr>
        <sz val="11"/>
        <color rgb="FFD2D2D2"/>
        <rFont val="Aptos Narrow"/>
        <family val="2"/>
        <scheme val="minor"/>
      </rPr>
      <t>= "VehicleCarProfileLtr"</t>
    </r>
  </si>
  <si>
    <r>
      <t>vehicleCarProfileRtl </t>
    </r>
    <r>
      <rPr>
        <sz val="11"/>
        <color rgb="FFD2D2D2"/>
        <rFont val="Aptos Narrow"/>
        <family val="2"/>
        <scheme val="minor"/>
      </rPr>
      <t>= "VehicleCarProfileRtl"</t>
    </r>
  </si>
  <si>
    <r>
      <t>vehicleShip </t>
    </r>
    <r>
      <rPr>
        <sz val="11"/>
        <color rgb="FFD2D2D2"/>
        <rFont val="Aptos Narrow"/>
        <family val="2"/>
        <scheme val="minor"/>
      </rPr>
      <t>= "VehicleShip"</t>
    </r>
  </si>
  <si>
    <r>
      <t>vehicleSubway </t>
    </r>
    <r>
      <rPr>
        <sz val="11"/>
        <color rgb="FFD2D2D2"/>
        <rFont val="Aptos Narrow"/>
        <family val="2"/>
        <scheme val="minor"/>
      </rPr>
      <t>= "VehicleSubway"</t>
    </r>
  </si>
  <si>
    <r>
      <t>vehicleTruck </t>
    </r>
    <r>
      <rPr>
        <sz val="11"/>
        <color rgb="FFD2D2D2"/>
        <rFont val="Aptos Narrow"/>
        <family val="2"/>
        <scheme val="minor"/>
      </rPr>
      <t>= "VehicleTruck"</t>
    </r>
  </si>
  <si>
    <r>
      <t>vehicleTruckBag </t>
    </r>
    <r>
      <rPr>
        <sz val="11"/>
        <color rgb="FFD2D2D2"/>
        <rFont val="Aptos Narrow"/>
        <family val="2"/>
        <scheme val="minor"/>
      </rPr>
      <t>= "VehicleTruckBag"</t>
    </r>
  </si>
  <si>
    <r>
      <t>vehicleTruckCube </t>
    </r>
    <r>
      <rPr>
        <sz val="11"/>
        <color rgb="FFD2D2D2"/>
        <rFont val="Aptos Narrow"/>
        <family val="2"/>
        <scheme val="minor"/>
      </rPr>
      <t>= "VehicleTruckCube"</t>
    </r>
  </si>
  <si>
    <r>
      <t>vehicleTruckProfile </t>
    </r>
    <r>
      <rPr>
        <sz val="11"/>
        <color rgb="FFD2D2D2"/>
        <rFont val="Aptos Narrow"/>
        <family val="2"/>
        <scheme val="minor"/>
      </rPr>
      <t>= "VehicleTruckProfile"</t>
    </r>
  </si>
  <si>
    <r>
      <t>video </t>
    </r>
    <r>
      <rPr>
        <sz val="11"/>
        <color rgb="FFD2D2D2"/>
        <rFont val="Aptos Narrow"/>
        <family val="2"/>
        <scheme val="minor"/>
      </rPr>
      <t>= "Video"</t>
    </r>
  </si>
  <si>
    <r>
      <t>video360 </t>
    </r>
    <r>
      <rPr>
        <sz val="11"/>
        <color rgb="FFD2D2D2"/>
        <rFont val="Aptos Narrow"/>
        <family val="2"/>
        <scheme val="minor"/>
      </rPr>
      <t>= "Video360"</t>
    </r>
  </si>
  <si>
    <r>
      <t>videoChat </t>
    </r>
    <r>
      <rPr>
        <sz val="11"/>
        <color rgb="FFD2D2D2"/>
        <rFont val="Aptos Narrow"/>
        <family val="2"/>
        <scheme val="minor"/>
      </rPr>
      <t>= "VideoChat"</t>
    </r>
  </si>
  <si>
    <r>
      <t>videoClip </t>
    </r>
    <r>
      <rPr>
        <sz val="11"/>
        <color rgb="FFD2D2D2"/>
        <rFont val="Aptos Narrow"/>
        <family val="2"/>
        <scheme val="minor"/>
      </rPr>
      <t>= "VideoClip"</t>
    </r>
  </si>
  <si>
    <r>
      <t>videoClipMultiple </t>
    </r>
    <r>
      <rPr>
        <sz val="11"/>
        <color rgb="FFD2D2D2"/>
        <rFont val="Aptos Narrow"/>
        <family val="2"/>
        <scheme val="minor"/>
      </rPr>
      <t>= "VideoClipMultiple"</t>
    </r>
  </si>
  <si>
    <r>
      <t>videoPerson </t>
    </r>
    <r>
      <rPr>
        <sz val="11"/>
        <color rgb="FFD2D2D2"/>
        <rFont val="Aptos Narrow"/>
        <family val="2"/>
        <scheme val="minor"/>
      </rPr>
      <t>= "VideoPerson"</t>
    </r>
  </si>
  <si>
    <r>
      <t>videoRecording </t>
    </r>
    <r>
      <rPr>
        <sz val="11"/>
        <color rgb="FFD2D2D2"/>
        <rFont val="Aptos Narrow"/>
        <family val="2"/>
        <scheme val="minor"/>
      </rPr>
      <t>= "VideoRecording"</t>
    </r>
  </si>
  <si>
    <r>
      <t>videoSecurity </t>
    </r>
    <r>
      <rPr>
        <sz val="11"/>
        <color rgb="FFD2D2D2"/>
        <rFont val="Aptos Narrow"/>
        <family val="2"/>
        <scheme val="minor"/>
      </rPr>
      <t>= "VideoSecurity"</t>
    </r>
  </si>
  <si>
    <r>
      <t>viewDesktop </t>
    </r>
    <r>
      <rPr>
        <sz val="11"/>
        <color rgb="FFD2D2D2"/>
        <rFont val="Aptos Narrow"/>
        <family val="2"/>
        <scheme val="minor"/>
      </rPr>
      <t>= "ViewDesktop"</t>
    </r>
  </si>
  <si>
    <r>
      <t>viewDesktopMobile </t>
    </r>
    <r>
      <rPr>
        <sz val="11"/>
        <color rgb="FFD2D2D2"/>
        <rFont val="Aptos Narrow"/>
        <family val="2"/>
        <scheme val="minor"/>
      </rPr>
      <t>= "ViewDesktopMobile"</t>
    </r>
  </si>
  <si>
    <r>
      <t>violin </t>
    </r>
    <r>
      <rPr>
        <sz val="11"/>
        <color rgb="FFD2D2D2"/>
        <rFont val="Aptos Narrow"/>
        <family val="2"/>
        <scheme val="minor"/>
      </rPr>
      <t>= "Violin"</t>
    </r>
  </si>
  <si>
    <r>
      <t>virtualNetwork </t>
    </r>
    <r>
      <rPr>
        <sz val="11"/>
        <color rgb="FFD2D2D2"/>
        <rFont val="Aptos Narrow"/>
        <family val="2"/>
        <scheme val="minor"/>
      </rPr>
      <t>= "VirtualNetwork"</t>
    </r>
  </si>
  <si>
    <r>
      <t>voicemail </t>
    </r>
    <r>
      <rPr>
        <sz val="11"/>
        <color rgb="FFD2D2D2"/>
        <rFont val="Aptos Narrow"/>
        <family val="2"/>
        <scheme val="minor"/>
      </rPr>
      <t>= "Voicemail"</t>
    </r>
  </si>
  <si>
    <r>
      <t>vote </t>
    </r>
    <r>
      <rPr>
        <sz val="11"/>
        <color rgb="FFD2D2D2"/>
        <rFont val="Aptos Narrow"/>
        <family val="2"/>
        <scheme val="minor"/>
      </rPr>
      <t>= "Vote"</t>
    </r>
  </si>
  <si>
    <r>
      <t>walkieTalkie </t>
    </r>
    <r>
      <rPr>
        <sz val="11"/>
        <color rgb="FFD2D2D2"/>
        <rFont val="Aptos Narrow"/>
        <family val="2"/>
        <scheme val="minor"/>
      </rPr>
      <t>= "WalkieTalkie"</t>
    </r>
  </si>
  <si>
    <r>
      <t>wallet </t>
    </r>
    <r>
      <rPr>
        <sz val="11"/>
        <color rgb="FFD2D2D2"/>
        <rFont val="Aptos Narrow"/>
        <family val="2"/>
        <scheme val="minor"/>
      </rPr>
      <t>= "Wallet"</t>
    </r>
  </si>
  <si>
    <r>
      <t>walletCreditCard </t>
    </r>
    <r>
      <rPr>
        <sz val="11"/>
        <color rgb="FFD2D2D2"/>
        <rFont val="Aptos Narrow"/>
        <family val="2"/>
        <scheme val="minor"/>
      </rPr>
      <t>= "WalletCreditCard"</t>
    </r>
  </si>
  <si>
    <r>
      <t>wallpaper </t>
    </r>
    <r>
      <rPr>
        <sz val="11"/>
        <color rgb="FFD2D2D2"/>
        <rFont val="Aptos Narrow"/>
        <family val="2"/>
        <scheme val="minor"/>
      </rPr>
      <t>= "Wallpaper"</t>
    </r>
  </si>
  <si>
    <r>
      <t>wand </t>
    </r>
    <r>
      <rPr>
        <sz val="11"/>
        <color rgb="FFD2D2D2"/>
        <rFont val="Aptos Narrow"/>
        <family val="2"/>
        <scheme val="minor"/>
      </rPr>
      <t>= "Wand"</t>
    </r>
  </si>
  <si>
    <r>
      <t>warning </t>
    </r>
    <r>
      <rPr>
        <sz val="11"/>
        <color rgb="FFD2D2D2"/>
        <rFont val="Aptos Narrow"/>
        <family val="2"/>
        <scheme val="minor"/>
      </rPr>
      <t>= "Warning"</t>
    </r>
  </si>
  <si>
    <r>
      <t>weatherBlowingSnow </t>
    </r>
    <r>
      <rPr>
        <sz val="11"/>
        <color rgb="FFD2D2D2"/>
        <rFont val="Aptos Narrow"/>
        <family val="2"/>
        <scheme val="minor"/>
      </rPr>
      <t>= "WeatherBlowingSnow"</t>
    </r>
  </si>
  <si>
    <r>
      <t>weatherCloudy </t>
    </r>
    <r>
      <rPr>
        <sz val="11"/>
        <color rgb="FFD2D2D2"/>
        <rFont val="Aptos Narrow"/>
        <family val="2"/>
        <scheme val="minor"/>
      </rPr>
      <t>= "WeatherCloudy"</t>
    </r>
  </si>
  <si>
    <r>
      <t>weatherDrizzle </t>
    </r>
    <r>
      <rPr>
        <sz val="11"/>
        <color rgb="FFD2D2D2"/>
        <rFont val="Aptos Narrow"/>
        <family val="2"/>
        <scheme val="minor"/>
      </rPr>
      <t>= "WeatherDrizzle"</t>
    </r>
  </si>
  <si>
    <r>
      <t>weatherDuststorm </t>
    </r>
    <r>
      <rPr>
        <sz val="11"/>
        <color rgb="FFD2D2D2"/>
        <rFont val="Aptos Narrow"/>
        <family val="2"/>
        <scheme val="minor"/>
      </rPr>
      <t>= "WeatherDuststorm"</t>
    </r>
  </si>
  <si>
    <r>
      <t>weatherFog </t>
    </r>
    <r>
      <rPr>
        <sz val="11"/>
        <color rgb="FFD2D2D2"/>
        <rFont val="Aptos Narrow"/>
        <family val="2"/>
        <scheme val="minor"/>
      </rPr>
      <t>= "WeatherFog"</t>
    </r>
  </si>
  <si>
    <r>
      <t>weatherHailDay </t>
    </r>
    <r>
      <rPr>
        <sz val="11"/>
        <color rgb="FFD2D2D2"/>
        <rFont val="Aptos Narrow"/>
        <family val="2"/>
        <scheme val="minor"/>
      </rPr>
      <t>= "WeatherHailDay"</t>
    </r>
  </si>
  <si>
    <r>
      <t>weatherHailNight </t>
    </r>
    <r>
      <rPr>
        <sz val="11"/>
        <color rgb="FFD2D2D2"/>
        <rFont val="Aptos Narrow"/>
        <family val="2"/>
        <scheme val="minor"/>
      </rPr>
      <t>= "WeatherHailNight"</t>
    </r>
  </si>
  <si>
    <r>
      <t>weatherHaze </t>
    </r>
    <r>
      <rPr>
        <sz val="11"/>
        <color rgb="FFD2D2D2"/>
        <rFont val="Aptos Narrow"/>
        <family val="2"/>
        <scheme val="minor"/>
      </rPr>
      <t>= "WeatherHaze"</t>
    </r>
  </si>
  <si>
    <r>
      <t>weatherMoon </t>
    </r>
    <r>
      <rPr>
        <sz val="11"/>
        <color rgb="FFD2D2D2"/>
        <rFont val="Aptos Narrow"/>
        <family val="2"/>
        <scheme val="minor"/>
      </rPr>
      <t>= "WeatherMoon"</t>
    </r>
  </si>
  <si>
    <r>
      <t>weatherPartlyCloudyDay </t>
    </r>
    <r>
      <rPr>
        <sz val="11"/>
        <color rgb="FFD2D2D2"/>
        <rFont val="Aptos Narrow"/>
        <family val="2"/>
        <scheme val="minor"/>
      </rPr>
      <t>= "WeatherPartlyCloudyDay"</t>
    </r>
  </si>
  <si>
    <r>
      <t>weatherPartlyCloudyNight </t>
    </r>
    <r>
      <rPr>
        <sz val="11"/>
        <color rgb="FFD2D2D2"/>
        <rFont val="Aptos Narrow"/>
        <family val="2"/>
        <scheme val="minor"/>
      </rPr>
      <t>= "WeatherPartlyCloudyNight"</t>
    </r>
  </si>
  <si>
    <r>
      <t>weatherRain </t>
    </r>
    <r>
      <rPr>
        <sz val="11"/>
        <color rgb="FFD2D2D2"/>
        <rFont val="Aptos Narrow"/>
        <family val="2"/>
        <scheme val="minor"/>
      </rPr>
      <t>= "WeatherRain"</t>
    </r>
  </si>
  <si>
    <r>
      <t>weatherRainShowersDay </t>
    </r>
    <r>
      <rPr>
        <sz val="11"/>
        <color rgb="FFD2D2D2"/>
        <rFont val="Aptos Narrow"/>
        <family val="2"/>
        <scheme val="minor"/>
      </rPr>
      <t>= "WeatherRainShowersDay"</t>
    </r>
  </si>
  <si>
    <r>
      <t>weatherRainShowersNight </t>
    </r>
    <r>
      <rPr>
        <sz val="11"/>
        <color rgb="FFD2D2D2"/>
        <rFont val="Aptos Narrow"/>
        <family val="2"/>
        <scheme val="minor"/>
      </rPr>
      <t>= "WeatherRainShowersNight"</t>
    </r>
  </si>
  <si>
    <r>
      <t>weatherRainSnow </t>
    </r>
    <r>
      <rPr>
        <sz val="11"/>
        <color rgb="FFD2D2D2"/>
        <rFont val="Aptos Narrow"/>
        <family val="2"/>
        <scheme val="minor"/>
      </rPr>
      <t>= "WeatherRainSnow"</t>
    </r>
  </si>
  <si>
    <r>
      <t>weatherSnow </t>
    </r>
    <r>
      <rPr>
        <sz val="11"/>
        <color rgb="FFD2D2D2"/>
        <rFont val="Aptos Narrow"/>
        <family val="2"/>
        <scheme val="minor"/>
      </rPr>
      <t>= "WeatherSnow"</t>
    </r>
  </si>
  <si>
    <r>
      <t>weatherSnowflake </t>
    </r>
    <r>
      <rPr>
        <sz val="11"/>
        <color rgb="FFD2D2D2"/>
        <rFont val="Aptos Narrow"/>
        <family val="2"/>
        <scheme val="minor"/>
      </rPr>
      <t>= "WeatherSnowflake"</t>
    </r>
  </si>
  <si>
    <r>
      <t>weatherSnowShowerDay </t>
    </r>
    <r>
      <rPr>
        <sz val="11"/>
        <color rgb="FFD2D2D2"/>
        <rFont val="Aptos Narrow"/>
        <family val="2"/>
        <scheme val="minor"/>
      </rPr>
      <t>= "WeatherSnowShowerDay"</t>
    </r>
  </si>
  <si>
    <r>
      <t>weatherSnowShowerNight </t>
    </r>
    <r>
      <rPr>
        <sz val="11"/>
        <color rgb="FFD2D2D2"/>
        <rFont val="Aptos Narrow"/>
        <family val="2"/>
        <scheme val="minor"/>
      </rPr>
      <t>= "WeatherSnowShowerNight"</t>
    </r>
  </si>
  <si>
    <r>
      <t>weatherSqualls </t>
    </r>
    <r>
      <rPr>
        <sz val="11"/>
        <color rgb="FFD2D2D2"/>
        <rFont val="Aptos Narrow"/>
        <family val="2"/>
        <scheme val="minor"/>
      </rPr>
      <t>= "WeatherSqualls"</t>
    </r>
  </si>
  <si>
    <r>
      <t>weatherSunnyHigh </t>
    </r>
    <r>
      <rPr>
        <sz val="11"/>
        <color rgb="FFD2D2D2"/>
        <rFont val="Aptos Narrow"/>
        <family val="2"/>
        <scheme val="minor"/>
      </rPr>
      <t>= "WeatherSunnyHigh"</t>
    </r>
  </si>
  <si>
    <r>
      <t>weatherSunnyLow </t>
    </r>
    <r>
      <rPr>
        <sz val="11"/>
        <color rgb="FFD2D2D2"/>
        <rFont val="Aptos Narrow"/>
        <family val="2"/>
        <scheme val="minor"/>
      </rPr>
      <t>= "WeatherSunnyLow"</t>
    </r>
  </si>
  <si>
    <r>
      <t>weatherThunderstorm </t>
    </r>
    <r>
      <rPr>
        <sz val="11"/>
        <color rgb="FFD2D2D2"/>
        <rFont val="Aptos Narrow"/>
        <family val="2"/>
        <scheme val="minor"/>
      </rPr>
      <t>= "WeatherThunderstorm"</t>
    </r>
  </si>
  <si>
    <r>
      <t>webAsset </t>
    </r>
    <r>
      <rPr>
        <sz val="11"/>
        <color rgb="FFD2D2D2"/>
        <rFont val="Aptos Narrow"/>
        <family val="2"/>
        <scheme val="minor"/>
      </rPr>
      <t>= "WebAsset"</t>
    </r>
  </si>
  <si>
    <r>
      <t>whiteboard </t>
    </r>
    <r>
      <rPr>
        <sz val="11"/>
        <color rgb="FFD2D2D2"/>
        <rFont val="Aptos Narrow"/>
        <family val="2"/>
        <scheme val="minor"/>
      </rPr>
      <t>= "Whiteboard"</t>
    </r>
  </si>
  <si>
    <r>
      <t>wifi1 </t>
    </r>
    <r>
      <rPr>
        <sz val="11"/>
        <color rgb="FFD2D2D2"/>
        <rFont val="Aptos Narrow"/>
        <family val="2"/>
        <scheme val="minor"/>
      </rPr>
      <t>= "Wifi1"</t>
    </r>
  </si>
  <si>
    <r>
      <t>wifi2 </t>
    </r>
    <r>
      <rPr>
        <sz val="11"/>
        <color rgb="FFD2D2D2"/>
        <rFont val="Aptos Narrow"/>
        <family val="2"/>
        <scheme val="minor"/>
      </rPr>
      <t>= "Wifi2"</t>
    </r>
  </si>
  <si>
    <r>
      <t>window </t>
    </r>
    <r>
      <rPr>
        <sz val="11"/>
        <color rgb="FFD2D2D2"/>
        <rFont val="Aptos Narrow"/>
        <family val="2"/>
        <scheme val="minor"/>
      </rPr>
      <t>= "Window"</t>
    </r>
  </si>
  <si>
    <r>
      <t>windowMultiple </t>
    </r>
    <r>
      <rPr>
        <sz val="11"/>
        <color rgb="FFD2D2D2"/>
        <rFont val="Aptos Narrow"/>
        <family val="2"/>
        <scheme val="minor"/>
      </rPr>
      <t>= "WindowMultiple"</t>
    </r>
  </si>
  <si>
    <r>
      <t>windowWrench </t>
    </r>
    <r>
      <rPr>
        <sz val="11"/>
        <color rgb="FFD2D2D2"/>
        <rFont val="Aptos Narrow"/>
        <family val="2"/>
        <scheme val="minor"/>
      </rPr>
      <t>= "WindowWrench"</t>
    </r>
  </si>
  <si>
    <r>
      <t>wrench </t>
    </r>
    <r>
      <rPr>
        <sz val="11"/>
        <color rgb="FFD2D2D2"/>
        <rFont val="Aptos Narrow"/>
        <family val="2"/>
        <scheme val="minor"/>
      </rPr>
      <t>= "Wrench"</t>
    </r>
  </si>
  <si>
    <r>
      <t>wrenchScrewdriver </t>
    </r>
    <r>
      <rPr>
        <sz val="11"/>
        <color rgb="FFD2D2D2"/>
        <rFont val="Aptos Narrow"/>
        <family val="2"/>
        <scheme val="minor"/>
      </rPr>
      <t>= "WrenchScrewdriver"</t>
    </r>
  </si>
  <si>
    <r>
      <t>xray </t>
    </r>
    <r>
      <rPr>
        <sz val="11"/>
        <color rgb="FFD2D2D2"/>
        <rFont val="Aptos Narrow"/>
        <family val="2"/>
        <scheme val="minor"/>
      </rPr>
      <t>= "Xray"</t>
    </r>
  </si>
  <si>
    <r>
      <t>yoga </t>
    </r>
    <r>
      <rPr>
        <sz val="11"/>
        <color rgb="FFD2D2D2"/>
        <rFont val="Aptos Narrow"/>
        <family val="2"/>
        <scheme val="minor"/>
      </rPr>
      <t>= "Yoga"</t>
    </r>
  </si>
  <si>
    <t/>
  </si>
  <si>
    <t>Hello</t>
  </si>
  <si>
    <t>A.CONCATENATE(D12:E12;B12:C12)</t>
  </si>
  <si>
    <t>A.CAR("BMW", 120)</t>
  </si>
  <si>
    <t>A.CARINSTANCE()</t>
  </si>
  <si>
    <t>A.OBJECT.A()</t>
  </si>
  <si>
    <t>Arrays can be indexed (zero based).</t>
  </si>
  <si>
    <t>Matrices can be indexed (zero based).</t>
  </si>
  <si>
    <t>Excel automatically converts numbers in strings to numbers.</t>
  </si>
  <si>
    <t>Call Car constructor.</t>
  </si>
  <si>
    <t>A.CARINSTANCE.STR()</t>
  </si>
  <si>
    <t>Module exports are directly available in</t>
  </si>
  <si>
    <t>Excel as callable functions.</t>
  </si>
  <si>
    <t>all properties are contained within one cell).</t>
  </si>
  <si>
    <t>Objects are converted into Excel entities (i.e.,</t>
  </si>
  <si>
    <t>Object properties can be accessed, even if</t>
  </si>
  <si>
    <t>not explictly defined as exports.</t>
  </si>
  <si>
    <t>A Car instance.</t>
  </si>
  <si>
    <t>A.SUM(A36:F36)</t>
  </si>
  <si>
    <t>A.TIMESTAMP()</t>
  </si>
  <si>
    <t>A.FOO()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</si>
</sst>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2D2D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Array" Target="richData/rdarray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" c="2">
    <v>2</v>
    <v>3</v>
  </a>
</arrayData>
</file>

<file path=xl/richData/rdrichvalue.xml><?xml version="1.0" encoding="utf-8"?>
<rvData xmlns="http://schemas.microsoft.com/office/spreadsheetml/2017/richdata" count="557">
  <rv s="0">
    <v>0</v>
  </rv>
  <rv s="1">
    <v>Array</v>
    <v>0</v>
    <v>2</v>
  </rv>
  <rv s="2">
    <v>Object</v>
    <v>4</v>
    <v>5</v>
  </rv>
  <rv s="3">
    <v>Object</v>
    <v>1</v>
    <v>1</v>
    <v>2</v>
    <v>six</v>
  </rv>
  <rv s="4">
    <v>Car</v>
    <v>BMW</v>
    <v>120</v>
  </rv>
  <rv s="4">
    <v>Car</v>
    <v>Ferrari</v>
    <v>9000</v>
  </rv>
  <rv s="5">
    <v>Foo</v>
    <v>https://localhost:29640/C:/~/Webcellar/demo/foo/foo.xlsx.js</v>
  </rv>
  <rv s="6">
    <v>Accessibility</v>
    <v>Accessibility</v>
  </rv>
  <rv s="6">
    <v>Airplane</v>
    <v>Plane</v>
  </rv>
  <rv s="6">
    <v>AirplaneTakeOff</v>
    <v>AirplaneTakeOff</v>
  </rv>
  <rv s="6">
    <v>Album</v>
    <v>Album</v>
  </rv>
  <rv s="6">
    <v>Alert</v>
    <v>Alert</v>
  </rv>
  <rv s="6">
    <v>AlertUrgent</v>
    <v>AlertUrgent</v>
  </rv>
  <rv s="6">
    <v>Animal</v>
    <v>Animal</v>
  </rv>
  <rv s="6">
    <v>AnimalCat</v>
    <v>AnimalCat</v>
  </rv>
  <rv s="6">
    <v>AnimalDog</v>
    <v>AnimalDog</v>
  </rv>
  <rv s="6">
    <v>AnimalRabbit</v>
    <v>AnimalRabbit</v>
  </rv>
  <rv s="6">
    <v>AnimalTurtle</v>
    <v>AnimalTurtle</v>
  </rv>
  <rv s="6">
    <v>AppFolder</v>
    <v>AppFolder</v>
  </rv>
  <rv s="6">
    <v>AppGeneric</v>
    <v>AppGeneric</v>
  </rv>
  <rv s="6">
    <v>Apple</v>
    <v>Apple</v>
  </rv>
  <rv s="6">
    <v>ApprovalsApp</v>
    <v>ApprovalsApp</v>
  </rv>
  <rv s="6">
    <v>Archive</v>
    <v>Archive</v>
  </rv>
  <rv s="6">
    <v>ArchiveMultiple</v>
    <v>ArchiveMultiple</v>
  </rv>
  <rv s="6">
    <v>ArrowTrendingLines</v>
    <v>ArrowTrendingLines</v>
  </rv>
  <rv s="6">
    <v>Art</v>
    <v>Art</v>
  </rv>
  <rv s="6">
    <v>Atom</v>
    <v>Atom</v>
  </rv>
  <rv s="6">
    <v>Attach</v>
    <v>Attach</v>
  </rv>
  <rv s="6">
    <v>Automobile</v>
    <v>Automobile</v>
  </rv>
  <rv s="6">
    <v>Autosum</v>
    <v>Autosum</v>
  </rv>
  <rv s="6">
    <v>Backpack</v>
    <v>Backpack</v>
  </rv>
  <rv s="6">
    <v>Badge</v>
    <v>Badge</v>
  </rv>
  <rv s="6">
    <v>Balloon</v>
    <v>Balloon</v>
  </rv>
  <rv s="6">
    <v>Bank</v>
    <v>Finance</v>
  </rv>
  <rv s="6">
    <v>BarcodeScanner</v>
    <v>BarcodeScanner</v>
  </rv>
  <rv s="6">
    <v>Basketball</v>
    <v>Sports</v>
  </rv>
  <rv s="6">
    <v>Battery0</v>
    <v>Battery0</v>
  </rv>
  <rv s="6">
    <v>Battery10</v>
    <v>Battery10</v>
  </rv>
  <rv s="6">
    <v>Beach</v>
    <v>Beach</v>
  </rv>
  <rv s="6">
    <v>Beaker</v>
    <v>Beaker</v>
  </rv>
  <rv s="6">
    <v>Bed</v>
    <v>Bed</v>
  </rv>
  <rv s="6">
    <v>BinFull</v>
    <v>BinFull</v>
  </rv>
  <rv s="6">
    <v>Bird</v>
    <v>Bird</v>
  </rv>
  <rv s="6">
    <v>Bluetooth</v>
    <v>Bluetooth</v>
  </rv>
  <rv s="6">
    <v>Board</v>
    <v>Board</v>
  </rv>
  <rv s="6">
    <v>BoardGames</v>
    <v>BoardGames</v>
  </rv>
  <rv s="6">
    <v>Book</v>
    <v>Literature</v>
  </rv>
  <rv s="6">
    <v>Bookmark</v>
    <v>Bookmark</v>
  </rv>
  <rv s="6">
    <v>BookmarkMultiple</v>
    <v>BookmarkMultiple</v>
  </rv>
  <rv s="6">
    <v>Bot</v>
    <v>Bot</v>
  </rv>
  <rv s="6">
    <v>BowlChopsticks</v>
    <v>BowlChopsticks</v>
  </rv>
  <rv s="6">
    <v>Box</v>
    <v>Box</v>
  </rv>
  <rv s="6">
    <v>BoxMultiple</v>
    <v>BoxMultiple</v>
  </rv>
  <rv s="6">
    <v>BrainCircuit</v>
    <v>BrainCircuit</v>
  </rv>
  <rv s="6">
    <v>Branch</v>
    <v>Branch</v>
  </rv>
  <rv s="6">
    <v>BranchFork</v>
    <v>BranchFork</v>
  </rv>
  <rv s="6">
    <v>BranchRequest</v>
    <v>BranchRequest</v>
  </rv>
  <rv s="6">
    <v>Bridge</v>
    <v>Bridge</v>
  </rv>
  <rv s="6">
    <v>Briefcase</v>
    <v>WorkData</v>
  </rv>
  <rv s="6">
    <v>BriefcaseMedical</v>
    <v>BriefcaseMedical</v>
  </rv>
  <rv s="6">
    <v>BroadActivityFeed</v>
    <v>BroadActivityFeed</v>
  </rv>
  <rv s="6">
    <v>Broom</v>
    <v>Broom</v>
  </rv>
  <rv s="6">
    <v>Bug</v>
    <v>Bug</v>
  </rv>
  <rv s="6">
    <v>Building</v>
    <v>Building</v>
  </rv>
  <rv s="6">
    <v>BuildingBank</v>
    <v>BuildingBank</v>
  </rv>
  <rv s="6">
    <v>BuildingFactory</v>
    <v>BuildingFactory</v>
  </rv>
  <rv s="6">
    <v>BuildingGovernment</v>
    <v>BuildingGovernment</v>
  </rv>
  <rv s="6">
    <v>BuildingHome</v>
    <v>BuildingHome</v>
  </rv>
  <rv s="6">
    <v>BuildingLighthouse</v>
    <v>BuildingLighthouse</v>
  </rv>
  <rv s="6">
    <v>BuildingMultiple</v>
    <v>BuildingMultiple</v>
  </rv>
  <rv s="6">
    <v>BuildingRetail</v>
    <v>BuildingRetail</v>
  </rv>
  <rv s="6">
    <v>BuildingRetailMore</v>
    <v>BuildingRetailMore</v>
  </rv>
  <rv s="6">
    <v>BuildingRetailToolbox</v>
    <v>BuildingRetailToolbox</v>
  </rv>
  <rv s="6">
    <v>BuildingShop</v>
    <v>BuildingShop</v>
  </rv>
  <rv s="6">
    <v>BuildingSkyscraper</v>
    <v>BuildingSkyscraper</v>
  </rv>
  <rv s="6">
    <v>Calculator</v>
    <v>Calculator</v>
  </rv>
  <rv s="6">
    <v>CalendarLtr</v>
    <v>CalendarLtr</v>
  </rv>
  <rv s="6">
    <v>CalendarRtl</v>
    <v>CalendarRtl</v>
  </rv>
  <rv s="6">
    <v>Call</v>
    <v>Call</v>
  </rv>
  <rv s="6">
    <v>CalligraphyPen</v>
    <v>CalligraphyPen</v>
  </rv>
  <rv s="6">
    <v>Camera</v>
    <v>Camera</v>
  </rv>
  <rv s="6">
    <v>CameraDome</v>
    <v>CameraDome</v>
  </rv>
  <rv s="6">
    <v>Car</v>
    <v>Automobile</v>
  </rv>
  <rv s="6">
    <v>Cart</v>
    <v>Cart</v>
  </rv>
  <rv s="6">
    <v>Cat</v>
    <v>Cat</v>
  </rv>
  <rv s="6">
    <v>Certificate</v>
    <v>Certificate</v>
  </rv>
  <rv s="6">
    <v>ChartMultiple</v>
    <v>ChartMultiple</v>
  </rv>
  <rv s="6">
    <v>Chat</v>
    <v>Chat</v>
  </rv>
  <rv s="6">
    <v>ChatMultiple</v>
    <v>ChatMultiple</v>
  </rv>
  <rv s="6">
    <v>ChatVideo</v>
    <v>ChatVideo</v>
  </rv>
  <rv s="6">
    <v>Check</v>
    <v>Check</v>
  </rv>
  <rv s="6">
    <v>CheckboxChecked</v>
    <v>CheckboxChecked</v>
  </rv>
  <rv s="6">
    <v>CheckboxUnchecked</v>
    <v>CheckboxUnchecked</v>
  </rv>
  <rv s="6">
    <v>Checkmark</v>
    <v>Checkmark</v>
  </rv>
  <rv s="6">
    <v>Chess</v>
    <v>Chess</v>
  </rv>
  <rv s="6">
    <v>City</v>
    <v>City</v>
  </rv>
  <rv s="6">
    <v>Class</v>
    <v>Class</v>
  </rv>
  <rv s="6">
    <v>Classification</v>
    <v>Classification</v>
  </rv>
  <rv s="6">
    <v>Clipboard</v>
    <v>Clipboard</v>
  </rv>
  <rv s="6">
    <v>ClipboardDataBar</v>
    <v>ClipboardDataBar</v>
  </rv>
  <rv s="6">
    <v>ClipboardPulse</v>
    <v>ClipboardPulse</v>
  </rv>
  <rv s="6">
    <v>ClipboardTask</v>
    <v>ClipboardTask</v>
  </rv>
  <rv s="6">
    <v>Clock</v>
    <v>Clock</v>
  </rv>
  <rv s="6">
    <v>ClockAlarm</v>
    <v>ClockAlarm</v>
  </rv>
  <rv s="6">
    <v>Cloud</v>
    <v>Clouds</v>
  </rv>
  <rv s="6">
    <v>CloudWords</v>
    <v>CloudWords</v>
  </rv>
  <rv s="6">
    <v>Code</v>
    <v>Code</v>
  </rv>
  <rv s="6">
    <v>Collections</v>
    <v>Collections</v>
  </rv>
  <rv s="6">
    <v>Comment</v>
    <v>Comment</v>
  </rv>
  <rv s="6">
    <v>CommentMultiple</v>
    <v>CommentMultiple</v>
  </rv>
  <rv s="6">
    <v>Communication</v>
    <v>Communication</v>
  </rv>
  <rv s="6">
    <v>CompassNorthwest</v>
    <v>CompassNorthwest</v>
  </rv>
  <rv s="6">
    <v>ConferenceRoom</v>
    <v>ConferenceRoom</v>
  </rv>
  <rv s="6">
    <v>Connector</v>
    <v>Connector</v>
  </rv>
  <rv s="6">
    <v>Constellation</v>
    <v>Constellation</v>
  </rv>
  <rv s="6">
    <v>ContactCard</v>
    <v>ContactCard</v>
  </rv>
  <rv s="6">
    <v>Cookies</v>
    <v>Cookies</v>
  </rv>
  <rv s="6">
    <v>Couch</v>
    <v>Couch</v>
  </rv>
  <rv s="6">
    <v>CreditCardPerson</v>
    <v>CreditCardPerson</v>
  </rv>
  <rv s="6">
    <v>CreditCardToolbox</v>
    <v>CreditCardToolbox</v>
  </rv>
  <rv s="6">
    <v>Cube</v>
    <v>Cube</v>
  </rv>
  <rv s="6">
    <v>CubeMultiple</v>
    <v>CubeMultiple</v>
  </rv>
  <rv s="6">
    <v>CubeTree</v>
    <v>CubeTree</v>
  </rv>
  <rv s="6">
    <v>CurrencyDollarEuro</v>
    <v>CurrencyDollarEuro</v>
  </rv>
  <rv s="6">
    <v>CurrencyDollarRupee</v>
    <v>CurrencyDollarRupee</v>
  </rv>
  <rv s="6">
    <v>DataArea</v>
    <v>DataArea</v>
  </rv>
  <rv s="6">
    <v>Database</v>
    <v>Database</v>
  </rv>
  <rv s="6">
    <v>DatabaseMultiple</v>
    <v>DatabaseMultiple</v>
  </rv>
  <rv s="6">
    <v>DataFunnel</v>
    <v>DataFunnel</v>
  </rv>
  <rv s="6">
    <v>DataHistogram</v>
    <v>DataHistogram</v>
  </rv>
  <rv s="6">
    <v>DataLine</v>
    <v>DataLine</v>
  </rv>
  <rv s="6">
    <v>DataPie</v>
    <v>DataPie</v>
  </rv>
  <rv s="6">
    <v>DataScatter</v>
    <v>DataScatter</v>
  </rv>
  <rv s="6">
    <v>DataSunburst</v>
    <v>DataSunburst</v>
  </rv>
  <rv s="6">
    <v>DataTreemap</v>
    <v>DataTreemap</v>
  </rv>
  <rv s="6">
    <v>DataWaterfall</v>
    <v>DataWaterfall</v>
  </rv>
  <rv s="6">
    <v>DataWhisker</v>
    <v>DataWhisker</v>
  </rv>
  <rv s="6">
    <v>Dentist</v>
    <v>Dentist</v>
  </rv>
  <rv s="6">
    <v>DesignIdeas</v>
    <v>DesignIdeas</v>
  </rv>
  <rv s="6">
    <v>Desktop</v>
    <v>Desktop</v>
  </rv>
  <rv s="6">
    <v>DesktopMac</v>
    <v>DesktopMac</v>
  </rv>
  <rv s="6">
    <v>DeveloperBoard</v>
    <v>DeveloperBoard</v>
  </rv>
  <rv s="6">
    <v>DeviceMeetingRoom</v>
    <v>DeviceMeetingRoom</v>
  </rv>
  <rv s="6">
    <v>Diagram</v>
    <v>Diagram</v>
  </rv>
  <rv s="6">
    <v>Dialpad</v>
    <v>Dialpad</v>
  </rv>
  <rv s="6">
    <v>Diamond</v>
    <v>Diamond</v>
  </rv>
  <rv s="6">
    <v>Dinosaur</v>
    <v>Dinosaur</v>
  </rv>
  <rv s="6">
    <v>Directions</v>
    <v>Directions</v>
  </rv>
  <rv s="6">
    <v>Disaster</v>
    <v>Disaster</v>
  </rv>
  <rv s="6">
    <v>Diversity</v>
    <v>Diversity</v>
  </rv>
  <rv s="6">
    <v>DNA</v>
    <v>Genetics</v>
  </rv>
  <rv s="6">
    <v>Doctor</v>
    <v>Doctor</v>
  </rv>
  <rv s="6">
    <v>Document</v>
    <v>Document</v>
  </rv>
  <rv s="6">
    <v>DocumentData</v>
    <v>DocumentData</v>
  </rv>
  <rv s="6">
    <v>DocumentLandscape</v>
    <v>DocumentLandscape</v>
  </rv>
  <rv s="6">
    <v>DocumentMultiple</v>
    <v>DocumentMultiple</v>
  </rv>
  <rv s="6">
    <v>DocumentPdf</v>
    <v>DocumentPdf</v>
  </rv>
  <rv s="6">
    <v>DocumentQueue</v>
    <v>DocumentQueue</v>
  </rv>
  <rv s="6">
    <v>DocumentText</v>
    <v>DocumentText</v>
  </rv>
  <rv s="6">
    <v>Dog</v>
    <v>Dog</v>
  </rv>
  <rv s="6">
    <v>Door</v>
    <v>Door</v>
  </rv>
  <rv s="6">
    <v>DoorTag</v>
    <v>DoorTag</v>
  </rv>
  <rv s="6">
    <v>Drafts</v>
    <v>Drafts</v>
  </rv>
  <rv s="6">
    <v>Drama</v>
    <v>Drama</v>
  </rv>
  <rv s="6">
    <v>DrinkBeer</v>
    <v>DrinkBeer</v>
  </rv>
  <rv s="6">
    <v>DrinkCoffee</v>
    <v>DrinkCoffee</v>
  </rv>
  <rv s="6">
    <v>DrinkMargarita</v>
    <v>DrinkMargarita</v>
  </rv>
  <rv s="6">
    <v>DrinkToGo</v>
    <v>DrinkToGo</v>
  </rv>
  <rv s="6">
    <v>DrinkWine</v>
    <v>DrinkWine</v>
  </rv>
  <rv s="6">
    <v>DriveTrain</v>
    <v>DriveTrain</v>
  </rv>
  <rv s="6">
    <v>Drop</v>
    <v>Drop</v>
  </rv>
  <rv s="6">
    <v>DualScreen</v>
    <v>DualScreen</v>
  </rv>
  <rv s="6">
    <v>Dumbbell</v>
    <v>Dumbbell</v>
  </rv>
  <rv s="6">
    <v>Earth</v>
    <v>Earth</v>
  </rv>
  <rv s="6">
    <v>Emoji</v>
    <v>Emoji</v>
  </rv>
  <rv s="6">
    <v>EmojiAngry</v>
    <v>EmojiAngry</v>
  </rv>
  <rv s="6">
    <v>EmojiHand</v>
    <v>EmojiHand</v>
  </rv>
  <rv s="6">
    <v>EmojiLaugh</v>
    <v>EmojiLaugh</v>
  </rv>
  <rv s="6">
    <v>EmojiMeh</v>
    <v>EmojiMeh</v>
  </rv>
  <rv s="6">
    <v>EmojiMultiple</v>
    <v>EmojiMultiple</v>
  </rv>
  <rv s="6">
    <v>EmojiSad</v>
    <v>EmojiSad</v>
  </rv>
  <rv s="6">
    <v>EmojiSadSlight</v>
    <v>EmojiSadSlight</v>
  </rv>
  <rv s="6">
    <v>EmojiSmileSlight</v>
    <v>EmojiSmileSlight</v>
  </rv>
  <rv s="6">
    <v>EmojiSparkle</v>
    <v>EmojiSparkle</v>
  </rv>
  <rv s="6">
    <v>EmojiSurprise</v>
    <v>EmojiSurprise</v>
  </rv>
  <rv s="6">
    <v>Engine</v>
    <v>Engine</v>
  </rv>
  <rv s="6">
    <v>Eraser</v>
    <v>Eraser</v>
  </rv>
  <rv s="6">
    <v>Eye</v>
    <v>Eye</v>
  </rv>
  <rv s="6">
    <v>Eyedropper</v>
    <v>Eyedropper</v>
  </rv>
  <rv s="6">
    <v>Fax</v>
    <v>Fax</v>
  </rv>
  <rv s="6">
    <v>Fingerprint</v>
    <v>Fingerprint</v>
  </rv>
  <rv s="6">
    <v>FirstAid</v>
    <v>FirstAid</v>
  </rv>
  <rv s="6">
    <v>Flag</v>
    <v>Flag</v>
  </rv>
  <rv s="6">
    <v>Flash</v>
    <v>Flash</v>
  </rv>
  <rv s="6">
    <v>Flashlight</v>
    <v>Flashlight</v>
  </rv>
  <rv s="6">
    <v>Flow</v>
    <v>Flow</v>
  </rv>
  <rv s="6">
    <v>Flowchart</v>
    <v>Flowchart</v>
  </rv>
  <rv s="6">
    <v>Folder</v>
    <v>Folder</v>
  </rv>
  <rv s="6">
    <v>FolderOpen</v>
    <v>FolderOpen</v>
  </rv>
  <rv s="6">
    <v>FolderOpenVertical</v>
    <v>FolderOpenVertical</v>
  </rv>
  <rv s="6">
    <v>FolderPerson</v>
    <v>FolderPerson</v>
  </rv>
  <rv s="6">
    <v>FolderZip</v>
    <v>FolderZip</v>
  </rv>
  <rv s="6">
    <v>Food</v>
    <v>Food</v>
  </rv>
  <rv s="6">
    <v>FoodApple</v>
    <v>FoodApple</v>
  </rv>
  <rv s="6">
    <v>FoodCake</v>
    <v>FoodCake</v>
  </rv>
  <rv s="6">
    <v>FoodEgg</v>
    <v>FoodEgg</v>
  </rv>
  <rv s="6">
    <v>FoodGrains</v>
    <v>FoodGrains</v>
  </rv>
  <rv s="6">
    <v>FoodPizza</v>
    <v>FoodPizza</v>
  </rv>
  <rv s="6">
    <v>FoodToast</v>
    <v>FoodToast</v>
  </rv>
  <rv s="6">
    <v>Galaxy</v>
    <v>OuterSpace</v>
  </rv>
  <rv s="6">
    <v>Games</v>
    <v>Games</v>
  </rv>
  <rv s="6">
    <v>GanttChart</v>
    <v>GanttChart</v>
  </rv>
  <rv s="6">
    <v>Gas</v>
    <v>Gas</v>
  </rv>
  <rv s="6">
    <v>GasPump</v>
    <v>GasPump</v>
  </rv>
  <rv s="6">
    <v>Gauge</v>
    <v>Gauge</v>
  </rv>
  <rv s="6">
    <v>Gavel</v>
    <v>Gavel</v>
  </rv>
  <rv s="6">
    <v>Generic</v>
    <v>Generic</v>
  </rv>
  <rv s="6">
    <v>Gift</v>
    <v>Gift</v>
  </rv>
  <rv s="6">
    <v>GiftCard</v>
    <v>GiftCard</v>
  </rv>
  <rv s="6">
    <v>Glasses</v>
    <v>Glasses</v>
  </rv>
  <rv s="6">
    <v>Globe</v>
    <v>Globe</v>
  </rv>
  <rv s="6">
    <v>GlobeSurface</v>
    <v>GlobeSurface</v>
  </rv>
  <rv s="6">
    <v>Grid</v>
    <v>Grid</v>
  </rv>
  <rv s="6">
    <v>GridDots</v>
    <v>GridDots</v>
  </rv>
  <rv s="6">
    <v>GridKanban</v>
    <v>GridKanban</v>
  </rv>
  <rv s="6">
    <v>Guardian</v>
    <v>Guardian</v>
  </rv>
  <rv s="6">
    <v>Guest</v>
    <v>Guest</v>
  </rv>
  <rv s="6">
    <v>Guitar</v>
    <v>Guitar</v>
  </rv>
  <rv s="6">
    <v>HandLeft</v>
    <v>HandLeft</v>
  </rv>
  <rv s="6">
    <v>HandRight</v>
    <v>HandRight</v>
  </rv>
  <rv s="6">
    <v>Handshake</v>
    <v>Handshake</v>
  </rv>
  <rv s="6">
    <v>HardDrive</v>
    <v>HardDrive</v>
  </rv>
  <rv s="6">
    <v>HatGraduation</v>
    <v>GradCap</v>
  </rv>
  <rv s="6">
    <v>Headphones</v>
    <v>Headphones</v>
  </rv>
  <rv s="6">
    <v>HeadphonesSoundWave</v>
    <v>HeadphonesSoundWave</v>
  </rv>
  <rv s="6">
    <v>Headset</v>
    <v>Headset</v>
  </rv>
  <rv s="6">
    <v>HeadsetVr</v>
    <v>HeadsetVr</v>
  </rv>
  <rv s="6">
    <v>Heart</v>
    <v>Heart</v>
  </rv>
  <rv s="6">
    <v>HeartBroken</v>
    <v>HeartBroken</v>
  </rv>
  <rv s="6">
    <v>HeartCircle</v>
    <v>HeartCircle</v>
  </rv>
  <rv s="6">
    <v>HeartHuman</v>
    <v>HumanAnatomy</v>
  </rv>
  <rv s="6">
    <v>HeartPulse</v>
    <v>HeartPulse</v>
  </rv>
  <rv s="6">
    <v>History</v>
    <v>History</v>
  </rv>
  <rv s="6">
    <v>Home</v>
    <v>Home</v>
  </rv>
  <rv s="6">
    <v>HomeMore</v>
    <v>HomeMore</v>
  </rv>
  <rv s="6">
    <v>HomePerson</v>
    <v>HomePerson</v>
  </rv>
  <rv s="6">
    <v>Icons</v>
    <v>Icons</v>
  </rv>
  <rv s="6">
    <v>Image</v>
    <v>Image</v>
  </rv>
  <rv s="6">
    <v>ImageGlobe</v>
    <v>ImageGlobe</v>
  </rv>
  <rv s="6">
    <v>ImageMultiple</v>
    <v>ImageMultiple</v>
  </rv>
  <rv s="6">
    <v>Iot</v>
    <v>Iot</v>
  </rv>
  <rv s="6">
    <v>Joystick</v>
    <v>Joystick</v>
  </rv>
  <rv s="6">
    <v>Justice</v>
    <v>Justice</v>
  </rv>
  <rv s="6">
    <v>Key</v>
    <v>Key</v>
  </rv>
  <rv s="6">
    <v>Keyboard</v>
    <v>Keyboard</v>
  </rv>
  <rv s="6">
    <v>KeyboardLayoutSplit</v>
    <v>KeyboardLayoutSplit</v>
  </rv>
  <rv s="6">
    <v>KeyMultiple</v>
    <v>KeyMultiple</v>
  </rv>
  <rv s="6">
    <v>Languages</v>
    <v>Languages</v>
  </rv>
  <rv s="6">
    <v>Laptop</v>
    <v>Laptop</v>
  </rv>
  <rv s="6">
    <v>Lasso</v>
    <v>Lasso</v>
  </rv>
  <rv s="6">
    <v>LauncherSettings</v>
    <v>LauncherSettings</v>
  </rv>
  <rv s="6">
    <v>Layer</v>
    <v>Layer</v>
  </rv>
  <rv s="6">
    <v>Leaf</v>
    <v>Leaf</v>
  </rv>
  <rv s="6">
    <v>LeafOne</v>
    <v>LeafOne</v>
  </rv>
  <rv s="6">
    <v>LeafThree</v>
    <v>LeafThree</v>
  </rv>
  <rv s="6">
    <v>LeafTwo</v>
    <v>LeafTwo</v>
  </rv>
  <rv s="6">
    <v>Library</v>
    <v>Library</v>
  </rv>
  <rv s="6">
    <v>Lightbulb</v>
    <v>Lightbulb</v>
  </rv>
  <rv s="6">
    <v>LightbulbFilament</v>
    <v>LightbulbFilament</v>
  </rv>
  <rv s="6">
    <v>Likert</v>
    <v>Likert</v>
  </rv>
  <rv s="6">
    <v>Link</v>
    <v>Link</v>
  </rv>
  <rv s="6">
    <v>LocalLanguage</v>
    <v>LocalLanguage</v>
  </rv>
  <rv s="6">
    <v>Location</v>
    <v>LocationPointer</v>
  </rv>
  <rv s="6">
    <v>LockClosed</v>
    <v>LockClosed</v>
  </rv>
  <rv s="6">
    <v>LockMultiple</v>
    <v>LockMultiple</v>
  </rv>
  <rv s="6">
    <v>LockOpen</v>
    <v>LockOpen</v>
  </rv>
  <rv s="6">
    <v>Lottery</v>
    <v>Lottery</v>
  </rv>
  <rv s="6">
    <v>Luggage</v>
    <v>Luggage</v>
  </rv>
  <rv s="6">
    <v>Mail</v>
    <v>Mail</v>
  </rv>
  <rv s="6">
    <v>MailInbox</v>
    <v>MailInbox</v>
  </rv>
  <rv s="6">
    <v>MailMultiple</v>
    <v>MailMultiple</v>
  </rv>
  <rv s="6">
    <v>Map</v>
    <v>Map</v>
  </rv>
  <rv s="6">
    <v>MapPin</v>
    <v>MapPin</v>
  </rv>
  <rv s="6">
    <v>Markdown</v>
    <v>Markdown</v>
  </rv>
  <rv s="6">
    <v>MathFormula</v>
    <v>MathFormula</v>
  </rv>
  <rv s="6">
    <v>MathSymbols</v>
    <v>MathSymbols</v>
  </rv>
  <rv s="6">
    <v>Max</v>
    <v>Max</v>
  </rv>
  <rv s="6">
    <v>Megaphone</v>
    <v>Megaphone</v>
  </rv>
  <rv s="6">
    <v>MegaphoneLoud</v>
    <v>MegaphoneLoud</v>
  </rv>
  <rv s="6">
    <v>Mention</v>
    <v>Mention</v>
  </rv>
  <rv s="6">
    <v>Mic</v>
    <v>Mic</v>
  </rv>
  <rv s="6">
    <v>Microscope</v>
    <v>Science</v>
  </rv>
  <rv s="6">
    <v>Midi</v>
    <v>Midi</v>
  </rv>
  <rv s="6">
    <v>Molecule</v>
    <v>Molecule</v>
  </rv>
  <rv s="6">
    <v>Money</v>
    <v>Currency</v>
  </rv>
  <rv s="6">
    <v>MoneyHand</v>
    <v>MoneyHand</v>
  </rv>
  <rv s="6">
    <v>Mountain</v>
    <v>Mountain</v>
  </rv>
  <rv s="6">
    <v>MovieCamera</v>
    <v>Movie</v>
  </rv>
  <rv s="6">
    <v>MoviesAndTv</v>
    <v>MoviesAndTv</v>
  </rv>
  <rv s="6">
    <v>MusicNote</v>
    <v>Music</v>
  </rv>
  <rv s="6">
    <v>MusicNote1</v>
    <v>MusicNote1</v>
  </rv>
  <rv s="6">
    <v>MusicNote2</v>
    <v>MusicNote2</v>
  </rv>
  <rv s="6">
    <v>MyLocation</v>
    <v>MyLocation</v>
  </rv>
  <rv s="6">
    <v>NByN</v>
    <v>NxN</v>
  </rv>
  <rv s="6">
    <v>NByOne</v>
    <v>Nx1</v>
  </rv>
  <rv s="6">
    <v>News</v>
    <v>News</v>
  </rv>
  <rv s="6">
    <v>NotablePeople</v>
    <v>NotablePeople</v>
  </rv>
  <rv s="6">
    <v>Note</v>
    <v>Note</v>
  </rv>
  <rv s="6">
    <v>Notebook</v>
    <v>Notebook</v>
  </rv>
  <rv s="6">
    <v>Notepad</v>
    <v>Notepad</v>
  </rv>
  <rv s="6">
    <v>NotepadPerson</v>
    <v>NotepadPerson</v>
  </rv>
  <rv s="6">
    <v>OneByN</v>
    <v>1xN</v>
  </rv>
  <rv s="6">
    <v>OneByOne</v>
    <v>1x1</v>
  </rv>
  <rv s="6">
    <v>Options</v>
    <v>Options</v>
  </rv>
  <rv s="6">
    <v>Organization</v>
    <v>Organization</v>
  </rv>
  <rv s="6">
    <v>OrganizationHorizontal</v>
    <v>OrganizationHorizontal</v>
  </rv>
  <rv s="6">
    <v>Oval</v>
    <v>Oval</v>
  </rv>
  <rv s="6">
    <v>PaintBrush</v>
    <v>PaintBrush</v>
  </rv>
  <rv s="6">
    <v>PaintBucket</v>
    <v>PaintBucket</v>
  </rv>
  <rv s="6">
    <v>PartlySunnyWeather</v>
    <v>PartlySunnyWeather</v>
  </rv>
  <rv s="6">
    <v>Password</v>
    <v>Password</v>
  </rv>
  <rv s="6">
    <v>Patch</v>
    <v>Patch</v>
  </rv>
  <rv s="6">
    <v>Patient</v>
    <v>Patient</v>
  </rv>
  <rv s="6">
    <v>Payment</v>
    <v>Payment</v>
  </rv>
  <rv s="6">
    <v>Pen</v>
    <v>Pen</v>
  </rv>
  <rv s="6">
    <v>Pentagon</v>
    <v>Pentagon</v>
  </rv>
  <rv s="6">
    <v>People</v>
    <v>People</v>
  </rv>
  <rv s="6">
    <v>PeopleAudience</v>
    <v>PeopleAudience</v>
  </rv>
  <rv s="6">
    <v>PeopleCall</v>
    <v>PeopleCall</v>
  </rv>
  <rv s="6">
    <v>PeopleCommunity</v>
    <v>PeopleCommunity</v>
  </rv>
  <rv s="6">
    <v>PeopleMoney</v>
    <v>PeopleMoney</v>
  </rv>
  <rv s="6">
    <v>PeopleQueue</v>
    <v>PeopleQueue</v>
  </rv>
  <rv s="6">
    <v>PeopleTeam</v>
    <v>PeopleTeam</v>
  </rv>
  <rv s="6">
    <v>PeopleToolbox</v>
    <v>PeopleToolbox</v>
  </rv>
  <rv s="6">
    <v>Person</v>
    <v>Person</v>
  </rv>
  <rv s="6">
    <v>PersonBoard</v>
    <v>PersonBoard</v>
  </rv>
  <rv s="6">
    <v>PersonCall</v>
    <v>PersonCall</v>
  </rv>
  <rv s="6">
    <v>PersonChat</v>
    <v>PersonChat</v>
  </rv>
  <rv s="6">
    <v>PersonFeedback</v>
    <v>PersonFeedback</v>
  </rv>
  <rv s="6">
    <v>PersonSupport</v>
    <v>PersonSupport</v>
  </rv>
  <rv s="6">
    <v>PersonVoice</v>
    <v>PersonVoice</v>
  </rv>
  <rv s="6">
    <v>Phone</v>
    <v>Phone</v>
  </rv>
  <rv s="6">
    <v>PhoneDesktop</v>
    <v>PhoneDesktop</v>
  </rv>
  <rv s="6">
    <v>PhoneLaptop</v>
    <v>PhoneLaptop</v>
  </rv>
  <rv s="6">
    <v>PhoneShake</v>
    <v>PhoneShake</v>
  </rv>
  <rv s="6">
    <v>PhoneTablet</v>
    <v>PhoneTablet</v>
  </rv>
  <rv s="6">
    <v>PhoneVibrate</v>
    <v>PhoneVibrate</v>
  </rv>
  <rv s="6">
    <v>PhotoFilter</v>
    <v>PhotoFilter</v>
  </rv>
  <rv s="6">
    <v>Pi</v>
    <v>Pi</v>
  </rv>
  <rv s="6">
    <v>PictureInPicture</v>
    <v>PictureInPicture</v>
  </rv>
  <rv s="6">
    <v>Pilates</v>
    <v>Pilates</v>
  </rv>
  <rv s="6">
    <v>Pill</v>
    <v>Pill</v>
  </rv>
  <rv s="6">
    <v>Pin</v>
    <v>Pin</v>
  </rv>
  <rv s="6">
    <v>Pipeline</v>
    <v>Pipeline</v>
  </rv>
  <rv s="6">
    <v>Planet</v>
    <v>Planet</v>
  </rv>
  <rv s="6">
    <v>PlayingCards</v>
    <v>PlayingCards</v>
  </rv>
  <rv s="6">
    <v>PlugConnected</v>
    <v>PlugConnected</v>
  </rv>
  <rv s="6">
    <v>PlugDisconnected</v>
    <v>PlugDisconnected</v>
  </rv>
  <rv s="6">
    <v>PointScan</v>
    <v>CenterMap</v>
  </rv>
  <rv s="6">
    <v>Poll</v>
    <v>Poll</v>
  </rv>
  <rv s="6">
    <v>Power</v>
    <v>Power</v>
  </rv>
  <rv s="6">
    <v>Predictions</v>
    <v>Predictions</v>
  </rv>
  <rv s="6">
    <v>Premium</v>
    <v>Premium</v>
  </rv>
  <rv s="6">
    <v>Presenter</v>
    <v>Presenter</v>
  </rv>
  <rv s="6">
    <v>PreviewLink</v>
    <v>PreviewLink</v>
  </rv>
  <rv s="6">
    <v>Print</v>
    <v>Print</v>
  </rv>
  <rv s="6">
    <v>Production</v>
    <v>Production</v>
  </rv>
  <rv s="6">
    <v>Prohibited</v>
    <v>Prohibited</v>
  </rv>
  <rv s="6">
    <v>ProjectionScreen</v>
    <v>ProjectionScreen</v>
  </rv>
  <rv s="6">
    <v>ProtocolHandler</v>
    <v>ProtocolHandler</v>
  </rv>
  <rv s="6">
    <v>Pulse</v>
    <v>Pulse</v>
  </rv>
  <rv s="6">
    <v>PulseSquare</v>
    <v>PulseSquare</v>
  </rv>
  <rv s="6">
    <v>PuzzlePiece</v>
    <v>PuzzlePiece</v>
  </rv>
  <rv s="6">
    <v>QrCode</v>
    <v>QrCode</v>
  </rv>
  <rv s="6">
    <v>Radar</v>
    <v>Radar</v>
  </rv>
  <rv s="6">
    <v>Ram</v>
    <v>Ram</v>
  </rv>
  <rv s="6">
    <v>ReadingList</v>
    <v>ReadingList</v>
  </rv>
  <rv s="6">
    <v>RealEstate</v>
    <v>RealEstate</v>
  </rv>
  <rv s="6">
    <v>Receipt</v>
    <v>Receipt</v>
  </rv>
  <rv s="6">
    <v>Reward</v>
    <v>Reward</v>
  </rv>
  <rv s="6">
    <v>Rhombus</v>
    <v>Rhombus</v>
  </rv>
  <rv s="6">
    <v>Ribbon</v>
    <v>Ribbon</v>
  </rv>
  <rv s="6">
    <v>RibbonStar</v>
    <v>RibbonStar</v>
  </rv>
  <rv s="6">
    <v>RoadCone</v>
    <v>RoadCone</v>
  </rv>
  <rv s="6">
    <v>Rocket</v>
    <v>Rocket</v>
  </rv>
  <rv s="6">
    <v>Router</v>
    <v>Router</v>
  </rv>
  <rv s="6">
    <v>Rss</v>
    <v>Rss</v>
  </rv>
  <rv s="6">
    <v>Ruler</v>
    <v>Ruler</v>
  </rv>
  <rv s="6">
    <v>Run</v>
    <v>Run</v>
  </rv>
  <rv s="6">
    <v>Running</v>
    <v>Exercise</v>
  </rv>
  <rv s="6">
    <v>Satellite</v>
    <v>Satellite</v>
  </rv>
  <rv s="6">
    <v>Save</v>
    <v>Save</v>
  </rv>
  <rv s="6">
    <v>Savings</v>
    <v>Savings</v>
  </rv>
  <rv s="6">
    <v>Scales</v>
    <v>Scales</v>
  </rv>
  <rv s="6">
    <v>Scan</v>
    <v>Scan</v>
  </rv>
  <rv s="6">
    <v>Scratchpad</v>
    <v>Scratchpad</v>
  </rv>
  <rv s="6">
    <v>ScreenPerson</v>
    <v>ScreenPerson</v>
  </rv>
  <rv s="6">
    <v>Screenshot</v>
    <v>Screenshot</v>
  </rv>
  <rv s="6">
    <v>Search</v>
    <v>Search</v>
  </rv>
  <rv s="6">
    <v>SerialPort</v>
    <v>SerialPort</v>
  </rv>
  <rv s="6">
    <v>Server</v>
    <v>Server</v>
  </rv>
  <rv s="6">
    <v>ServerMultiple</v>
    <v>ServerMultiple</v>
  </rv>
  <rv s="6">
    <v>ServiceBell</v>
    <v>ServiceBell</v>
  </rv>
  <rv s="6">
    <v>Settings</v>
    <v>Settings</v>
  </rv>
  <rv s="6">
    <v>Shapes</v>
    <v>Shapes</v>
  </rv>
  <rv s="6">
    <v>Shield</v>
    <v>Shield</v>
  </rv>
  <rv s="6">
    <v>ShieldTask</v>
    <v>ShieldTask</v>
  </rv>
  <rv s="6">
    <v>ShoppingBag</v>
    <v>ShoppingBag</v>
  </rv>
  <rv s="6">
    <v>Signature</v>
    <v>Signature</v>
  </rv>
  <rv s="6">
    <v>Sim</v>
    <v>Sim</v>
  </rv>
  <rv s="6">
    <v>Sleep</v>
    <v>Sleep</v>
  </rv>
  <rv s="6">
    <v>Smartwatch</v>
    <v>Smartwatch</v>
  </rv>
  <rv s="6">
    <v>SoundSource</v>
    <v>SoundSource</v>
  </rv>
  <rv s="6">
    <v>SoundWaveCircle</v>
    <v>SoundWaveCircle</v>
  </rv>
  <rv s="6">
    <v>Sparkle</v>
    <v>Sparkle</v>
  </rv>
  <rv s="6">
    <v>Speaker0</v>
    <v>Speaker0</v>
  </rv>
  <rv s="6">
    <v>Speaker2</v>
    <v>Speaker2</v>
  </rv>
  <rv s="6">
    <v>Sport</v>
    <v>Sport</v>
  </rv>
  <rv s="6">
    <v>SportAmericanFootball</v>
    <v>SportAmericanFootball</v>
  </rv>
  <rv s="6">
    <v>SportBaseball</v>
    <v>SportBaseball</v>
  </rv>
  <rv s="6">
    <v>SportBasketball</v>
    <v>SportBasketball</v>
  </rv>
  <rv s="6">
    <v>SportHockey</v>
    <v>SportHockey</v>
  </rv>
  <rv s="6">
    <v>SportSoccer</v>
    <v>SportSoccer</v>
  </rv>
  <rv s="6">
    <v>SquareMultiple</v>
    <v>SquareMultiple</v>
  </rv>
  <rv s="6">
    <v>SquareShadow</v>
    <v>SquareShadow</v>
  </rv>
  <rv s="6">
    <v>SquaresNested</v>
    <v>SquaresNested</v>
  </rv>
  <rv s="6">
    <v>Stack</v>
    <v>Stack</v>
  </rv>
  <rv s="6">
    <v>StackStar</v>
    <v>StackStar</v>
  </rv>
  <rv s="6">
    <v>Star</v>
    <v>Star</v>
  </rv>
  <rv s="6">
    <v>StarFilled</v>
    <v>StarFilled</v>
  </rv>
  <rv s="6">
    <v>StarHalf</v>
    <v>StarHalf</v>
  </rv>
  <rv s="6">
    <v>StarLineHorizontal3</v>
    <v>StarLineHorizontal3</v>
  </rv>
  <rv s="6">
    <v>StarOneQuarter</v>
    <v>StarOneQuarter</v>
  </rv>
  <rv s="6">
    <v>StarThreeQuarter</v>
    <v>StarThreeQuarter</v>
  </rv>
  <rv s="6">
    <v>Status</v>
    <v>Status</v>
  </rv>
  <rv s="6">
    <v>Steps</v>
    <v>Steps</v>
  </rv>
  <rv s="6">
    <v>Stethoscope</v>
    <v>Stethoscope</v>
  </rv>
  <rv s="6">
    <v>Sticker</v>
    <v>Sticker</v>
  </rv>
  <rv s="6">
    <v>Storage</v>
    <v>Storage</v>
  </rv>
  <rv s="6">
    <v>Stream</v>
    <v>Stream</v>
  </rv>
  <rv s="6">
    <v>StreamInput</v>
    <v>StreamInput</v>
  </rv>
  <rv s="6">
    <v>StreamInputOutput</v>
    <v>StreamInputOutput</v>
  </rv>
  <rv s="6">
    <v>StreamOutput</v>
    <v>StreamOutput</v>
  </rv>
  <rv s="6">
    <v>StyleGuide</v>
    <v>StyleGuide</v>
  </rv>
  <rv s="6">
    <v>SubGrid</v>
    <v>SubGrid</v>
  </rv>
  <rv s="6">
    <v>Subtitles</v>
    <v>Subtitles</v>
  </rv>
  <rv s="6">
    <v>SurfaceEarbuds</v>
    <v>SurfaceEarbuds</v>
  </rv>
  <rv s="6">
    <v>SurfaceHub</v>
    <v>SurfaceHub</v>
  </rv>
  <rv s="6">
    <v>Symbols</v>
    <v>Symbols</v>
  </rv>
  <rv s="6">
    <v>Syringe</v>
    <v>MedicineNeedle</v>
  </rv>
  <rv s="6">
    <v>System</v>
    <v>System</v>
  </rv>
  <rv s="6">
    <v>TabDesktop</v>
    <v>TabDesktop</v>
  </rv>
  <rv s="6">
    <v>TabInprivateAccount</v>
    <v>TabInprivateAccount</v>
  </rv>
  <rv s="6">
    <v>Table</v>
    <v>Table</v>
  </rv>
  <rv s="6">
    <v>TableImage</v>
    <v>TableImage</v>
  </rv>
  <rv s="6">
    <v>TableMultiple</v>
    <v>TableMultiple</v>
  </rv>
  <rv s="6">
    <v>Tablet</v>
    <v>Tablet</v>
  </rv>
  <rv s="6">
    <v>Tabs</v>
    <v>Tabs</v>
  </rv>
  <rv s="6">
    <v>Tag</v>
    <v>Tag</v>
  </rv>
  <rv s="6">
    <v>TagCircle</v>
    <v>TagCircle</v>
  </rv>
  <rv s="6">
    <v>TagMultiple</v>
    <v>TagMultiple</v>
  </rv>
  <rv s="6">
    <v>Target</v>
    <v>Target</v>
  </rv>
  <rv s="6">
    <v>TargetArrow</v>
    <v>TargetArrow</v>
  </rv>
  <rv s="6">
    <v>Teddy</v>
    <v>Teddy</v>
  </rv>
  <rv s="6">
    <v>Temperature</v>
    <v>Temperature</v>
  </rv>
  <rv s="6">
    <v>Tent</v>
    <v>Tent</v>
  </rv>
  <rv s="6">
    <v>TetrisApp</v>
    <v>TetrisApp</v>
  </rv>
  <rv s="6">
    <v>Textbox</v>
    <v>Textbox</v>
  </rv>
  <rv s="6">
    <v>TextQuote</v>
    <v>TextQuote</v>
  </rv>
  <rv s="6">
    <v>Thinking</v>
    <v>Thinking</v>
  </rv>
  <rv s="6">
    <v>ThumbDislike</v>
    <v>ThumbDislike</v>
  </rv>
  <rv s="6">
    <v>ThumbLike</v>
    <v>ThumbLike</v>
  </rv>
  <rv s="6">
    <v>TicketDiagonal</v>
    <v>TicketDiagonal</v>
  </rv>
  <rv s="6">
    <v>TicketHorizontal</v>
    <v>TicketHorizontal</v>
  </rv>
  <rv s="6">
    <v>TimeAndWeather</v>
    <v>TimeAndWeather</v>
  </rv>
  <rv s="6">
    <v>Timeline</v>
    <v>Timeline</v>
  </rv>
  <rv s="6">
    <v>Timer</v>
    <v>Timer</v>
  </rv>
  <rv s="6">
    <v>Toolbox</v>
    <v>Toolbox</v>
  </rv>
  <rv s="6">
    <v>TopSpeed</v>
    <v>TopSpeed</v>
  </rv>
  <rv s="6">
    <v>Translate</v>
    <v>Translate</v>
  </rv>
  <rv s="6">
    <v>Transmission</v>
    <v>Transmission</v>
  </rv>
  <rv s="6">
    <v>TreeDeciduous</v>
    <v>TreeDeciduous</v>
  </rv>
  <rv s="6">
    <v>TreeEvergreen</v>
    <v>TreeEvergreen</v>
  </rv>
  <rv s="6">
    <v>Trophy</v>
    <v>Trophy</v>
  </rv>
  <rv s="6">
    <v>Tv</v>
    <v>Tv</v>
  </rv>
  <rv s="6">
    <v>TvUsb</v>
    <v>TvUsb</v>
  </rv>
  <rv s="6">
    <v>Umbrella</v>
    <v>Umbrella</v>
  </rv>
  <rv s="6">
    <v>UsbPlug</v>
    <v>UsbPlug</v>
  </rv>
  <rv s="6">
    <v>UsbStick</v>
    <v>UsbStick</v>
  </rv>
  <rv s="6">
    <v>Vault</v>
    <v>Vault</v>
  </rv>
  <rv s="6">
    <v>VehicleBicycle</v>
    <v>VehicleBicycle</v>
  </rv>
  <rv s="6">
    <v>VehicleBus</v>
    <v>VehicleBus</v>
  </rv>
  <rv s="6">
    <v>VehicleCab</v>
    <v>VehicleCab</v>
  </rv>
  <rv s="6">
    <v>VehicleCar</v>
    <v>VehicleCar</v>
  </rv>
  <rv s="6">
    <v>VehicleCarCollision</v>
    <v>VehicleCarCollision</v>
  </rv>
  <rv s="6">
    <v>VehicleCarProfileLtr</v>
    <v>VehicleCarProfileLtr</v>
  </rv>
  <rv s="6">
    <v>VehicleCarProfileRtl</v>
    <v>VehicleCarProfileRtl</v>
  </rv>
  <rv s="6">
    <v>VehicleShip</v>
    <v>VehicleShip</v>
  </rv>
  <rv s="6">
    <v>VehicleSubway</v>
    <v>VehicleSubway</v>
  </rv>
  <rv s="6">
    <v>VehicleTruck</v>
    <v>VehicleTruck</v>
  </rv>
  <rv s="6">
    <v>VehicleTruckBag</v>
    <v>VehicleTruckBag</v>
  </rv>
  <rv s="6">
    <v>VehicleTruckCube</v>
    <v>VehicleTruckCube</v>
  </rv>
  <rv s="6">
    <v>VehicleTruckProfile</v>
    <v>VehicleTruckProfile</v>
  </rv>
  <rv s="6">
    <v>Video</v>
    <v>Video</v>
  </rv>
  <rv s="6">
    <v>Video360</v>
    <v>Video360</v>
  </rv>
  <rv s="6">
    <v>VideoChat</v>
    <v>VideoChat</v>
  </rv>
  <rv s="6">
    <v>VideoClip</v>
    <v>VideoClip</v>
  </rv>
  <rv s="6">
    <v>VideoClipMultiple</v>
    <v>VideoClipMultiple</v>
  </rv>
  <rv s="6">
    <v>VideoPerson</v>
    <v>VideoPerson</v>
  </rv>
  <rv s="6">
    <v>VideoRecording</v>
    <v>VideoRecording</v>
  </rv>
  <rv s="6">
    <v>VideoSecurity</v>
    <v>VideoSecurity</v>
  </rv>
  <rv s="6">
    <v>ViewDesktop</v>
    <v>ViewDesktop</v>
  </rv>
  <rv s="6">
    <v>ViewDesktopMobile</v>
    <v>ViewDesktopMobile</v>
  </rv>
  <rv s="6">
    <v>Violin</v>
    <v>Instrument</v>
  </rv>
  <rv s="6">
    <v>VirtualNetwork</v>
    <v>VirtualNetwork</v>
  </rv>
  <rv s="6">
    <v>Voicemail</v>
    <v>Voicemail</v>
  </rv>
  <rv s="6">
    <v>Vote</v>
    <v>Vote</v>
  </rv>
  <rv s="6">
    <v>WalkieTalkie</v>
    <v>WalkieTalkie</v>
  </rv>
  <rv s="6">
    <v>Wallet</v>
    <v>Wallet</v>
  </rv>
  <rv s="6">
    <v>WalletCreditCard</v>
    <v>WalletCreditCard</v>
  </rv>
  <rv s="6">
    <v>Wallpaper</v>
    <v>Wallpaper</v>
  </rv>
  <rv s="6">
    <v>Wand</v>
    <v>Wand</v>
  </rv>
  <rv s="6">
    <v>Warning</v>
    <v>Warning</v>
  </rv>
  <rv s="6">
    <v>WeatherBlowingSnow</v>
    <v>WeatherBlowingSnow</v>
  </rv>
  <rv s="6">
    <v>WeatherCloudy</v>
    <v>WeatherCloudy</v>
  </rv>
  <rv s="6">
    <v>WeatherDrizzle</v>
    <v>WeatherDrizzle</v>
  </rv>
  <rv s="6">
    <v>WeatherDuststorm</v>
    <v>WeatherDuststorm</v>
  </rv>
  <rv s="6">
    <v>WeatherFog</v>
    <v>WeatherFog</v>
  </rv>
  <rv s="6">
    <v>WeatherHailDay</v>
    <v>WeatherHailDay</v>
  </rv>
  <rv s="6">
    <v>WeatherHailNight</v>
    <v>WeatherHailNight</v>
  </rv>
  <rv s="6">
    <v>WeatherHaze</v>
    <v>WeatherHaze</v>
  </rv>
  <rv s="6">
    <v>WeatherMoon</v>
    <v>WeatherMoon</v>
  </rv>
  <rv s="6">
    <v>WeatherPartlyCloudyDay</v>
    <v>WeatherPartlyCloudyDay</v>
  </rv>
  <rv s="6">
    <v>WeatherPartlyCloudyNight</v>
    <v>WeatherPartlyCloudyNight</v>
  </rv>
  <rv s="6">
    <v>WeatherRain</v>
    <v>WeatherRain</v>
  </rv>
  <rv s="6">
    <v>WeatherRainShowersDay</v>
    <v>WeatherRainShowersDay</v>
  </rv>
  <rv s="6">
    <v>WeatherRainShowersNight</v>
    <v>WeatherRainShowersNight</v>
  </rv>
  <rv s="6">
    <v>WeatherRainSnow</v>
    <v>WeatherRainSnow</v>
  </rv>
  <rv s="6">
    <v>WeatherSnow</v>
    <v>WeatherSnow</v>
  </rv>
  <rv s="6">
    <v>WeatherSnowflake</v>
    <v>WeatherSnowflake</v>
  </rv>
  <rv s="6">
    <v>WeatherSnowShowerDay</v>
    <v>WeatherSnowShowerDay</v>
  </rv>
  <rv s="6">
    <v>WeatherSnowShowerNight</v>
    <v>WeatherSnowShowerNight</v>
  </rv>
  <rv s="6">
    <v>WeatherSqualls</v>
    <v>WeatherSqualls</v>
  </rv>
  <rv s="6">
    <v>WeatherSunnyHigh</v>
    <v>WeatherSunnyHigh</v>
  </rv>
  <rv s="6">
    <v>WeatherSunnyLow</v>
    <v>WeatherSunnyLow</v>
  </rv>
  <rv s="6">
    <v>WeatherThunderstorm</v>
    <v>WeatherThunderstorm</v>
  </rv>
  <rv s="6">
    <v>WebAsset</v>
    <v>WebAsset</v>
  </rv>
  <rv s="6">
    <v>Whiteboard</v>
    <v>Whiteboard</v>
  </rv>
  <rv s="6">
    <v>Wifi1</v>
    <v>Wifi1</v>
  </rv>
  <rv s="6">
    <v>Wifi2</v>
    <v>Wifi2</v>
  </rv>
  <rv s="6">
    <v>Window</v>
    <v>Window</v>
  </rv>
  <rv s="6">
    <v>WindowMultiple</v>
    <v>WindowMultiple</v>
  </rv>
  <rv s="6">
    <v>WindowWrench</v>
    <v>WindowWrench</v>
  </rv>
  <rv s="6">
    <v>Wrench</v>
    <v>Wrench</v>
  </rv>
  <rv s="6">
    <v>WrenchScrewdriver</v>
    <v>WrenchScrewdriver</v>
  </rv>
  <rv s="6">
    <v>Xray</v>
    <v>Xray</v>
  </rv>
  <rv s="6">
    <v>Yoga</v>
    <v>Yoga</v>
  </rv>
</rvData>
</file>

<file path=xl/richData/rdrichvaluestructure.xml><?xml version="1.0" encoding="utf-8"?>
<rvStructures xmlns="http://schemas.microsoft.com/office/spreadsheetml/2017/richdata" count="7">
  <s t="_array">
    <k n="array" t="a"/>
  </s>
  <s t="_entity">
    <k n="_DisplayString" t="s"/>
    <k n="data" t="r"/>
    <k n="length"/>
  </s>
  <s t="_entity">
    <k n="_DisplayString" t="s"/>
    <k n="c0"/>
    <k n="c1"/>
  </s>
  <s t="_entity">
    <k n="_DisplayString" t="s"/>
    <k n="a"/>
    <k n="b" t="r"/>
    <k n="c" t="r"/>
    <k n="e" t="s"/>
  </s>
  <s t="_entity">
    <k n="_DisplayString" t="s"/>
    <k n="brand" t="s"/>
    <k n="speed"/>
  </s>
  <s t="_entity">
    <k n="_DisplayString" t="s"/>
    <k n="url" t="s"/>
  </s>
  <s t="_entity">
    <k n="_DisplayString" t="s"/>
    <k n="_Icon" t="s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48" row="8">
    <wetp:webextensionref xmlns:r="http://schemas.openxmlformats.org/officeDocument/2006/relationships" r:id="rId1"/>
  </wetp:taskpane>
  <wetp:taskpane dockstate="right" visibility="0" width="708" row="10">
    <wetp:webextensionref xmlns:r="http://schemas.openxmlformats.org/officeDocument/2006/relationships" r:id="rId2"/>
  </wetp:taskpane>
  <wetp:taskpane dockstate="right" visibility="0" width="350" row="9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BCF06771-E67B-47EE-920F-FBA970E0F5AE}">
  <we:reference id="6535b641-40f5-47ee-bae8-6430f4405a97" version="1.0.0.0" store="developer" storeType="Registry"/>
  <we:alternateReferences/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/>
    </a:ex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2.xml><?xml version="1.0" encoding="utf-8"?>
<we:webextension xmlns:we="http://schemas.microsoft.com/office/webextensions/webextension/2010/11" id="{6DDCF85B-4382-457C-BAE2-D47AA7BC4A67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_xldudf_SCRIPTLAB_BLANKSNIPPET_ADD10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0DBAC06-A6D4-4B31-A14C-636AC49FEA61}">
  <we:reference id="6535b641-40f5-47ee-bae8-6430f4405a98" version="1.0.0.0" store="developer" storeType="Registry"/>
  <we:alternateReferences/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ebextensions/webextension4.xml><?xml version="1.0" encoding="utf-8"?>
<we:webextension xmlns:we="http://schemas.microsoft.com/office/webextensions/webextension/2010/11" id="{8635306C-0110-4C96-BC14-E4C842105C4D}">
  <we:reference id="6535b641-40f5-47ee-bae8-6430f4405a02" version="1.0.0.3" store="developer" storeType="Registry"/>
  <we:alternateReferences/>
  <we:properties>
    <we:property name="Office.ForceRefreshCustomFunctionsCache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_xldudf_A_VOLATILESTATEFULRANDOMWALK</we:customFunctionIds>
        <we:customFunctionIds>_xldudf_A_TIMESTAMP</we:customFunctionIds>
        <we:customFunctionIds>_xldudf_A_TEST</we:customFunctionIds>
        <we:customFunctionIds>_xldudf_A_SUM</we:customFunctionIds>
        <we:customFunctionIds>_xldudf_A_STRING</we:customFunctionIds>
        <we:customFunctionIds>_xldudf_A_OBJECT</we:customFunctionIds>
        <we:customFunctionIds>_xldudf_A_OBJECT_E</we:customFunctionIds>
        <we:customFunctionIds>_xldudf_A_OBJECT_C</we:customFunctionIds>
        <we:customFunctionIds>_xldudf_A_OBJECT_C_C1</we:customFunctionIds>
        <we:customFunctionIds>_xldudf_A_OBJECT_C_C0</we:customFunctionIds>
        <we:customFunctionIds>_xldudf_A_OBJECT_B</we:customFunctionIds>
        <we:customFunctionIds>_xldudf_A_OBJECT_A</we:customFunctionIds>
        <we:customFunctionIds>_xldudf_A_NUMBER</we:customFunctionIds>
        <we:customFunctionIds>_xldudf_A_MATRIX</we:customFunctionIds>
        <we:customFunctionIds>_xldudf_GLOBALNAMESPACE</we:customFunctionIds>
        <we:customFunctionIds>_xldudf_A_FOO</we:customFunctionIds>
        <we:customFunctionIds>_xldudf_A_FOO_URL</we:customFunctionIds>
        <we:customFunctionIds>_xldudf_A_DELAY</we:customFunctionIds>
        <we:customFunctionIds>_xldudf_A_CONCATENATE</we:customFunctionIds>
        <we:customFunctionIds>_xldudf_A_CARINSTANCE</we:customFunctionIds>
        <we:customFunctionIds>_xldudf_A_CARINSTANCE_STR</we:customFunctionIds>
        <we:customFunctionIds>_xldudf_A_CARINSTANCE_SPEED</we:customFunctionIds>
        <we:customFunctionIds>_xldudf_A_CARINSTANCE_BRAND</we:customFunctionIds>
        <we:customFunctionIds>_xldudf_A_BOOLEAN</we:customFunctionIds>
        <we:customFunctionIds>_xldudf_A_ARRAY</we:customFunctionIds>
        <we:customFunctionIds>_xldudf_A_ADD</we:customFunctionIds>
        <we:customFunctionIds>_xldudf_A_CAR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2E3A-F236-4E3F-A8CB-7171B445C7D7}">
  <dimension ref="A1:F66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13.140625" style="2" bestFit="1" customWidth="1"/>
    <col min="2" max="2" width="6.140625" style="2" customWidth="1"/>
    <col min="3" max="3" width="12.7109375" style="2" bestFit="1" customWidth="1"/>
    <col min="4" max="6" width="9.42578125" style="2" bestFit="1" customWidth="1"/>
    <col min="7" max="7" width="10.42578125" style="2" bestFit="1" customWidth="1"/>
    <col min="8" max="8" width="9.42578125" style="2" bestFit="1" customWidth="1"/>
    <col min="9" max="16384" width="9.140625" style="2"/>
  </cols>
  <sheetData>
    <row r="1" spans="1:4" x14ac:dyDescent="0.25">
      <c r="A1" s="1" t="s">
        <v>1</v>
      </c>
      <c r="C1" s="2" t="s">
        <v>575</v>
      </c>
    </row>
    <row r="2" spans="1:4" x14ac:dyDescent="0.25">
      <c r="A2" s="2" t="str" cm="1">
        <f t="array" ref="A2">_xldudf_A_STRING()</f>
        <v>Hello World!</v>
      </c>
      <c r="C2" s="2" t="s">
        <v>576</v>
      </c>
    </row>
    <row r="4" spans="1:4" x14ac:dyDescent="0.25">
      <c r="A4" s="1" t="s">
        <v>3</v>
      </c>
    </row>
    <row r="5" spans="1:4" x14ac:dyDescent="0.25">
      <c r="A5" s="2" cm="1">
        <f t="array" ref="A5:D5">_xldudf_A_ARRAY()</f>
        <v>1</v>
      </c>
      <c r="B5" s="2">
        <v>2</v>
      </c>
      <c r="C5" s="2">
        <v>3</v>
      </c>
      <c r="D5" s="2">
        <v>4</v>
      </c>
    </row>
    <row r="7" spans="1:4" x14ac:dyDescent="0.25">
      <c r="A7" s="1" t="s">
        <v>5</v>
      </c>
      <c r="C7" s="2" t="s">
        <v>570</v>
      </c>
    </row>
    <row r="8" spans="1:4" x14ac:dyDescent="0.25">
      <c r="A8" s="2" cm="1">
        <f t="array" ref="A8">_xldudf_A_ARRAY(0)</f>
        <v>1</v>
      </c>
    </row>
    <row r="10" spans="1:4" x14ac:dyDescent="0.25">
      <c r="A10" s="1" t="s">
        <v>4</v>
      </c>
    </row>
    <row r="11" spans="1:4" x14ac:dyDescent="0.25">
      <c r="A11" s="2" cm="1">
        <f t="array" ref="A11:B12">_xldudf_A_MATRIX()</f>
        <v>1</v>
      </c>
      <c r="B11" s="2">
        <v>2</v>
      </c>
    </row>
    <row r="12" spans="1:4" x14ac:dyDescent="0.25">
      <c r="A12" s="2">
        <v>3</v>
      </c>
      <c r="B12" s="2">
        <v>4</v>
      </c>
    </row>
    <row r="14" spans="1:4" x14ac:dyDescent="0.25">
      <c r="A14" s="1" t="s">
        <v>6</v>
      </c>
      <c r="C14" s="2" t="s">
        <v>571</v>
      </c>
    </row>
    <row r="15" spans="1:4" x14ac:dyDescent="0.25">
      <c r="A15" s="2" cm="1">
        <f t="array" ref="A15:B15">_xldudf_A_MATRIX(1)</f>
        <v>3</v>
      </c>
      <c r="B15" s="2">
        <v>4</v>
      </c>
    </row>
    <row r="17" spans="1:3" x14ac:dyDescent="0.25">
      <c r="A17" s="1" t="s">
        <v>7</v>
      </c>
      <c r="C17" s="2" t="s">
        <v>578</v>
      </c>
    </row>
    <row r="18" spans="1:3" x14ac:dyDescent="0.25">
      <c r="A18" s="2" t="e" cm="1" vm="1">
        <f t="array" ref="A18">_xldudf_A_OBJECT()</f>
        <v>#VALUE!</v>
      </c>
      <c r="C18" s="2" t="s">
        <v>577</v>
      </c>
    </row>
    <row r="20" spans="1:3" x14ac:dyDescent="0.25">
      <c r="A20" s="1" t="s">
        <v>569</v>
      </c>
      <c r="C20" s="2" t="s">
        <v>579</v>
      </c>
    </row>
    <row r="21" spans="1:3" x14ac:dyDescent="0.25">
      <c r="A21" s="2" cm="1">
        <f t="array" ref="A21">_xldudf_A_OBJECT_A()</f>
        <v>1</v>
      </c>
      <c r="C21" s="2" t="s">
        <v>580</v>
      </c>
    </row>
    <row r="23" spans="1:3" x14ac:dyDescent="0.25">
      <c r="A23" s="1" t="s">
        <v>8</v>
      </c>
    </row>
    <row r="24" spans="1:3" x14ac:dyDescent="0.25">
      <c r="A24" s="2" cm="1">
        <f t="array" ref="A24">_xldudf_A_ADD(11, 12)</f>
        <v>23</v>
      </c>
    </row>
    <row r="26" spans="1:3" x14ac:dyDescent="0.25">
      <c r="A26" s="1" t="s">
        <v>9</v>
      </c>
      <c r="C26" s="2" t="s">
        <v>572</v>
      </c>
    </row>
    <row r="27" spans="1:3" x14ac:dyDescent="0.25">
      <c r="A27" s="2" cm="1">
        <f t="array" ref="A27">_xldudf_A_ADD("11", "12")</f>
        <v>23</v>
      </c>
    </row>
    <row r="29" spans="1:3" x14ac:dyDescent="0.25">
      <c r="A29" s="1" t="s">
        <v>0</v>
      </c>
    </row>
    <row r="30" spans="1:3" x14ac:dyDescent="0.25">
      <c r="A30" s="2" cm="1">
        <f t="array" ref="A30">_xldudf_A_NUMBER()</f>
        <v>1234</v>
      </c>
    </row>
    <row r="32" spans="1:3" x14ac:dyDescent="0.25">
      <c r="A32" s="1" t="s">
        <v>2</v>
      </c>
    </row>
    <row r="33" spans="1:6" x14ac:dyDescent="0.25">
      <c r="A33" s="2" t="b" cm="1">
        <f t="array" ref="A33">_xldudf_A_BOOLEAN()</f>
        <v>1</v>
      </c>
    </row>
    <row r="35" spans="1:6" x14ac:dyDescent="0.25">
      <c r="A35" s="1" t="s">
        <v>10</v>
      </c>
    </row>
    <row r="36" spans="1:6" x14ac:dyDescent="0.25">
      <c r="A36" s="2" cm="1">
        <f t="array" ref="A36:F36">_xldudf_A_CONCATENATE({1;2;3}, {4;5;6})</f>
        <v>1</v>
      </c>
      <c r="B36" s="2">
        <v>2</v>
      </c>
      <c r="C36" s="2">
        <v>3</v>
      </c>
      <c r="D36" s="2">
        <v>4</v>
      </c>
      <c r="E36" s="2">
        <v>5</v>
      </c>
      <c r="F36" s="2">
        <v>6</v>
      </c>
    </row>
    <row r="38" spans="1:6" x14ac:dyDescent="0.25">
      <c r="A38" s="1" t="s">
        <v>566</v>
      </c>
    </row>
    <row r="39" spans="1:6" x14ac:dyDescent="0.25">
      <c r="A39" s="2" cm="1">
        <f t="array" ref="A39:D39">_xldudf_A_CONCATENATE(C5:D5,A5:B5)</f>
        <v>3</v>
      </c>
      <c r="B39" s="2">
        <v>4</v>
      </c>
      <c r="C39" s="2">
        <v>1</v>
      </c>
      <c r="D39" s="2">
        <v>2</v>
      </c>
    </row>
    <row r="41" spans="1:6" x14ac:dyDescent="0.25">
      <c r="A41" s="1" t="s">
        <v>11</v>
      </c>
    </row>
    <row r="42" spans="1:6" x14ac:dyDescent="0.25">
      <c r="A42" s="2" t="str" cm="1">
        <f t="array" ref="A42">_xldudf_A_DELAY(1)</f>
        <v>Async function delayed for 1 seconds.</v>
      </c>
    </row>
    <row r="44" spans="1:6" x14ac:dyDescent="0.25">
      <c r="A44" s="1" t="s">
        <v>13</v>
      </c>
    </row>
    <row r="45" spans="1:6" x14ac:dyDescent="0.25">
      <c r="A45" s="2" cm="1">
        <f t="array" ref="A45">_xldudf_A_VOLATILESTATEFULRANDOMWALK()</f>
        <v>0.70081943955346693</v>
      </c>
    </row>
    <row r="47" spans="1:6" x14ac:dyDescent="0.25">
      <c r="A47" s="1" t="s">
        <v>12</v>
      </c>
    </row>
    <row r="48" spans="1:6" x14ac:dyDescent="0.25">
      <c r="A48" s="2" t="str" cm="1">
        <f t="array" ref="A48">_xldudf_GLOBALNAMESPACE()</f>
        <v>Call this function from Excel with GLOBALNAMESPACE().</v>
      </c>
    </row>
    <row r="50" spans="1:3" x14ac:dyDescent="0.25">
      <c r="A50" s="1" t="s">
        <v>567</v>
      </c>
      <c r="C50" s="2" t="s">
        <v>573</v>
      </c>
    </row>
    <row r="51" spans="1:3" x14ac:dyDescent="0.25">
      <c r="A51" s="2" t="e" cm="1" vm="2">
        <f t="array" ref="A51">_xldudf_A_CAR("BMW", 120)</f>
        <v>#VALUE!</v>
      </c>
    </row>
    <row r="53" spans="1:3" x14ac:dyDescent="0.25">
      <c r="A53" s="1" t="s">
        <v>568</v>
      </c>
      <c r="C53" s="2" t="s">
        <v>581</v>
      </c>
    </row>
    <row r="54" spans="1:3" x14ac:dyDescent="0.25">
      <c r="A54" s="2" t="e" cm="1" vm="3">
        <f t="array" ref="A54">_xldudf_A_CARINSTANCE()</f>
        <v>#VALUE!</v>
      </c>
    </row>
    <row r="56" spans="1:3" x14ac:dyDescent="0.25">
      <c r="A56" s="1" t="s">
        <v>574</v>
      </c>
    </row>
    <row r="57" spans="1:3" x14ac:dyDescent="0.25">
      <c r="A57" s="2" t="str" cm="1">
        <f t="array" ref="A57">_xldudf_A_CARINSTANCE_STR()</f>
        <v>Brand: Ferrari, Speed: 9000</v>
      </c>
    </row>
    <row r="59" spans="1:3" x14ac:dyDescent="0.25">
      <c r="A59" s="1" t="s">
        <v>583</v>
      </c>
    </row>
    <row r="60" spans="1:3" x14ac:dyDescent="0.25">
      <c r="A60" s="2" t="str" cm="1">
        <f t="array" ref="A60">_xldudf_A_TIMESTAMP(TRUE)</f>
        <v>Tue, 07 Apr 2026 02:03:28 GMT</v>
      </c>
    </row>
    <row r="62" spans="1:3" x14ac:dyDescent="0.25">
      <c r="A62" s="1" t="s">
        <v>582</v>
      </c>
    </row>
    <row r="63" spans="1:3" x14ac:dyDescent="0.25">
      <c r="A63" s="2" cm="1">
        <f t="array" ref="A63">_xldudf_A_SUM(A36:F36)</f>
        <v>21</v>
      </c>
    </row>
    <row r="65" spans="1:1" x14ac:dyDescent="0.25">
      <c r="A65" s="1" t="s">
        <v>584</v>
      </c>
    </row>
    <row r="66" spans="1:1" x14ac:dyDescent="0.25">
      <c r="A66" s="2" t="e" cm="1" vm="4">
        <f t="array" ref="A66">_xldudf_A_FOO()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F218-BDEB-40AF-BE17-8E0AE2AF14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4847-5764-4912-9E12-54F173ECDDD8}">
  <dimension ref="B1:H1101"/>
  <sheetViews>
    <sheetView topLeftCell="G853" zoomScale="160" zoomScaleNormal="160" workbookViewId="0">
      <selection activeCell="I829" sqref="I829"/>
    </sheetView>
  </sheetViews>
  <sheetFormatPr defaultRowHeight="15" x14ac:dyDescent="0.25"/>
  <cols>
    <col min="2" max="2" width="52.28515625" bestFit="1" customWidth="1"/>
    <col min="3" max="3" width="9.42578125" bestFit="1" customWidth="1"/>
    <col min="4" max="4" width="12" bestFit="1" customWidth="1"/>
    <col min="6" max="6" width="9.42578125" bestFit="1" customWidth="1"/>
    <col min="7" max="7" width="51.7109375" customWidth="1"/>
    <col min="8" max="8" width="27.140625" bestFit="1" customWidth="1"/>
  </cols>
  <sheetData>
    <row r="1" spans="2:8" x14ac:dyDescent="0.25">
      <c r="H1" t="s">
        <v>564</v>
      </c>
    </row>
    <row r="2" spans="2:8" x14ac:dyDescent="0.25">
      <c r="B2" s="3" t="s">
        <v>14</v>
      </c>
      <c r="C2" t="str" cm="1">
        <f t="array" ref="C2:E2">_xlfn.TEXTSPLIT(B2, """")</f>
        <v xml:space="preserve">accessibility = </v>
      </c>
      <c r="D2" t="str">
        <v>Accessibility</v>
      </c>
      <c r="E2" t="str">
        <v/>
      </c>
      <c r="F2" t="e" cm="1" vm="5">
        <f t="array" ref="F2">IF(D2="","",_xldudf_A_ENTICON(D2))</f>
        <v>#VALUE!</v>
      </c>
      <c r="H2" t="s">
        <v>565</v>
      </c>
    </row>
    <row r="3" spans="2:8" x14ac:dyDescent="0.25">
      <c r="B3" s="3"/>
      <c r="C3" t="e" cm="1">
        <f t="array" ref="C3">_xlfn.TEXTSPLIT(B3, """")</f>
        <v>#VALUE!</v>
      </c>
      <c r="F3" t="str" cm="1">
        <f t="array" ref="F3">IF(D3="","",_xldudf_A_ENTICON(D3))</f>
        <v/>
      </c>
      <c r="H3" t="s">
        <v>564</v>
      </c>
    </row>
    <row r="4" spans="2:8" x14ac:dyDescent="0.25">
      <c r="B4" s="3" t="s">
        <v>15</v>
      </c>
      <c r="C4" t="str" cm="1">
        <f t="array" ref="C4:E4">_xlfn.TEXTSPLIT(B4, """")</f>
        <v xml:space="preserve">airplane = </v>
      </c>
      <c r="D4" t="str">
        <v>Airplane</v>
      </c>
      <c r="E4" t="str">
        <v/>
      </c>
      <c r="F4" t="e" cm="1" vm="6">
        <f t="array" ref="F4">IF(D4="","",_xldudf_A_ENTICON(D4))</f>
        <v>#VALUE!</v>
      </c>
      <c r="H4" t="str">
        <f>XXX</f>
        <v>Hello</v>
      </c>
    </row>
    <row r="5" spans="2:8" x14ac:dyDescent="0.25">
      <c r="B5" s="3"/>
      <c r="C5" t="e" cm="1">
        <f t="array" ref="C5">_xlfn.TEXTSPLIT(B5, """")</f>
        <v>#VALUE!</v>
      </c>
      <c r="F5" t="str" cm="1">
        <f t="array" ref="F5">IF(D5="","",_xldudf_A_ENTICON(D5))</f>
        <v/>
      </c>
      <c r="H5" t="s">
        <v>564</v>
      </c>
    </row>
    <row r="6" spans="2:8" x14ac:dyDescent="0.25">
      <c r="B6" s="3" t="s">
        <v>16</v>
      </c>
      <c r="C6" t="str" cm="1">
        <f t="array" ref="C6:E6">_xlfn.TEXTSPLIT(B6, """")</f>
        <v xml:space="preserve">airplaneTakeOff = </v>
      </c>
      <c r="D6" t="str">
        <v>AirplaneTakeOff</v>
      </c>
      <c r="E6" t="str">
        <v/>
      </c>
      <c r="F6" t="e" cm="1" vm="7">
        <f t="array" ref="F6">IF(D6="","",_xldudf_A_ENTICON(D6))</f>
        <v>#VALUE!</v>
      </c>
      <c r="H6" t="s">
        <v>564</v>
      </c>
    </row>
    <row r="7" spans="2:8" x14ac:dyDescent="0.25">
      <c r="B7" s="3"/>
      <c r="C7" t="e" cm="1">
        <f t="array" ref="C7">_xlfn.TEXTSPLIT(B7, """")</f>
        <v>#VALUE!</v>
      </c>
      <c r="F7" t="str" cm="1">
        <f t="array" ref="F7">IF(D7="","",_xldudf_A_ENTICON(D7))</f>
        <v/>
      </c>
      <c r="H7" t="s">
        <v>564</v>
      </c>
    </row>
    <row r="8" spans="2:8" x14ac:dyDescent="0.25">
      <c r="B8" s="3" t="s">
        <v>17</v>
      </c>
      <c r="C8" t="str" cm="1">
        <f t="array" ref="C8:E8">_xlfn.TEXTSPLIT(B8, """")</f>
        <v xml:space="preserve">album = </v>
      </c>
      <c r="D8" t="str">
        <v>Album</v>
      </c>
      <c r="E8" t="str">
        <v/>
      </c>
      <c r="F8" t="e" cm="1" vm="8">
        <f t="array" ref="F8">IF(D8="","",_xldudf_A_ENTICON(D8))</f>
        <v>#VALUE!</v>
      </c>
      <c r="H8" t="s">
        <v>564</v>
      </c>
    </row>
    <row r="9" spans="2:8" x14ac:dyDescent="0.25">
      <c r="B9" s="3"/>
      <c r="C9" t="e" cm="1">
        <f t="array" ref="C9">_xlfn.TEXTSPLIT(B9, """")</f>
        <v>#VALUE!</v>
      </c>
      <c r="F9" t="str" cm="1">
        <f t="array" ref="F9">IF(D9="","",_xldudf_A_ENTICON(D9))</f>
        <v/>
      </c>
      <c r="H9" t="s">
        <v>564</v>
      </c>
    </row>
    <row r="10" spans="2:8" x14ac:dyDescent="0.25">
      <c r="B10" s="3" t="s">
        <v>18</v>
      </c>
      <c r="C10" t="str" cm="1">
        <f t="array" ref="C10:E10">_xlfn.TEXTSPLIT(B10, """")</f>
        <v xml:space="preserve">alert = </v>
      </c>
      <c r="D10" t="str">
        <v>Alert</v>
      </c>
      <c r="E10" t="str">
        <v/>
      </c>
      <c r="F10" t="e" cm="1" vm="9">
        <f t="array" ref="F10">IF(D10="","",_xldudf_A_ENTICON(D10))</f>
        <v>#VALUE!</v>
      </c>
      <c r="H10" t="s">
        <v>564</v>
      </c>
    </row>
    <row r="11" spans="2:8" x14ac:dyDescent="0.25">
      <c r="B11" s="3"/>
      <c r="C11" t="e" cm="1">
        <f t="array" ref="C11">_xlfn.TEXTSPLIT(B11, """")</f>
        <v>#VALUE!</v>
      </c>
      <c r="F11" t="str" cm="1">
        <f t="array" ref="F11">IF(D11="","",_xldudf_A_ENTICON(D11))</f>
        <v/>
      </c>
      <c r="H11" t="s">
        <v>564</v>
      </c>
    </row>
    <row r="12" spans="2:8" x14ac:dyDescent="0.25">
      <c r="B12" s="3" t="s">
        <v>19</v>
      </c>
      <c r="C12" t="str" cm="1">
        <f t="array" ref="C12:E12">_xlfn.TEXTSPLIT(B12, """")</f>
        <v xml:space="preserve">alertUrgent = </v>
      </c>
      <c r="D12" t="str">
        <v>AlertUrgent</v>
      </c>
      <c r="E12" t="str">
        <v/>
      </c>
      <c r="F12" t="e" cm="1" vm="10">
        <f t="array" ref="F12">IF(D12="","",_xldudf_A_ENTICON(D12))</f>
        <v>#VALUE!</v>
      </c>
      <c r="H12" t="s">
        <v>564</v>
      </c>
    </row>
    <row r="13" spans="2:8" x14ac:dyDescent="0.25">
      <c r="B13" s="3"/>
      <c r="C13" t="e" cm="1">
        <f t="array" ref="C13">_xlfn.TEXTSPLIT(B13, """")</f>
        <v>#VALUE!</v>
      </c>
      <c r="F13" t="str" cm="1">
        <f t="array" ref="F13">IF(D13="","",_xldudf_A_ENTICON(D13))</f>
        <v/>
      </c>
      <c r="H13" t="s">
        <v>564</v>
      </c>
    </row>
    <row r="14" spans="2:8" x14ac:dyDescent="0.25">
      <c r="B14" s="3" t="s">
        <v>20</v>
      </c>
      <c r="C14" t="str" cm="1">
        <f t="array" ref="C14:E14">_xlfn.TEXTSPLIT(B14, """")</f>
        <v xml:space="preserve">animal = </v>
      </c>
      <c r="D14" t="str">
        <v>Animal</v>
      </c>
      <c r="E14" t="str">
        <v/>
      </c>
      <c r="F14" t="e" cm="1" vm="11">
        <f t="array" ref="F14">IF(D14="","",_xldudf_A_ENTICON(D14))</f>
        <v>#VALUE!</v>
      </c>
      <c r="H14" t="s">
        <v>564</v>
      </c>
    </row>
    <row r="15" spans="2:8" x14ac:dyDescent="0.25">
      <c r="B15" s="3"/>
      <c r="C15" t="e" cm="1">
        <f t="array" ref="C15">_xlfn.TEXTSPLIT(B15, """")</f>
        <v>#VALUE!</v>
      </c>
      <c r="F15" t="str" cm="1">
        <f t="array" ref="F15">IF(D15="","",_xldudf_A_ENTICON(D15))</f>
        <v/>
      </c>
      <c r="H15" t="s">
        <v>564</v>
      </c>
    </row>
    <row r="16" spans="2:8" x14ac:dyDescent="0.25">
      <c r="B16" s="3" t="s">
        <v>21</v>
      </c>
      <c r="C16" t="str" cm="1">
        <f t="array" ref="C16:E16">_xlfn.TEXTSPLIT(B16, """")</f>
        <v xml:space="preserve">animalCat = </v>
      </c>
      <c r="D16" t="str">
        <v>AnimalCat</v>
      </c>
      <c r="E16" t="str">
        <v/>
      </c>
      <c r="F16" t="e" cm="1" vm="12">
        <f t="array" ref="F16">IF(D16="","",_xldudf_A_ENTICON(D16))</f>
        <v>#VALUE!</v>
      </c>
      <c r="H16" t="s">
        <v>564</v>
      </c>
    </row>
    <row r="17" spans="2:8" x14ac:dyDescent="0.25">
      <c r="B17" s="3"/>
      <c r="C17" t="e" cm="1">
        <f t="array" ref="C17">_xlfn.TEXTSPLIT(B17, """")</f>
        <v>#VALUE!</v>
      </c>
      <c r="F17" t="str" cm="1">
        <f t="array" ref="F17">IF(D17="","",_xldudf_A_ENTICON(D17))</f>
        <v/>
      </c>
      <c r="H17" t="s">
        <v>564</v>
      </c>
    </row>
    <row r="18" spans="2:8" x14ac:dyDescent="0.25">
      <c r="B18" s="3" t="s">
        <v>22</v>
      </c>
      <c r="C18" t="str" cm="1">
        <f t="array" ref="C18:E18">_xlfn.TEXTSPLIT(B18, """")</f>
        <v xml:space="preserve">animalDog = </v>
      </c>
      <c r="D18" t="str">
        <v>AnimalDog</v>
      </c>
      <c r="E18" t="str">
        <v/>
      </c>
      <c r="F18" t="e" cm="1" vm="13">
        <f t="array" ref="F18">IF(D18="","",_xldudf_A_ENTICON(D18))</f>
        <v>#VALUE!</v>
      </c>
      <c r="H18" t="s">
        <v>564</v>
      </c>
    </row>
    <row r="19" spans="2:8" x14ac:dyDescent="0.25">
      <c r="B19" s="3"/>
      <c r="C19" t="e" cm="1">
        <f t="array" ref="C19">_xlfn.TEXTSPLIT(B19, """")</f>
        <v>#VALUE!</v>
      </c>
      <c r="F19" t="str" cm="1">
        <f t="array" ref="F19">IF(D19="","",_xldudf_A_ENTICON(D19))</f>
        <v/>
      </c>
      <c r="H19" t="s">
        <v>564</v>
      </c>
    </row>
    <row r="20" spans="2:8" x14ac:dyDescent="0.25">
      <c r="B20" s="3" t="s">
        <v>23</v>
      </c>
      <c r="C20" t="str" cm="1">
        <f t="array" ref="C20:E20">_xlfn.TEXTSPLIT(B20, """")</f>
        <v xml:space="preserve">animalRabbit = </v>
      </c>
      <c r="D20" t="str">
        <v>AnimalRabbit</v>
      </c>
      <c r="E20" t="str">
        <v/>
      </c>
      <c r="F20" t="e" cm="1" vm="14">
        <f t="array" ref="F20">IF(D20="","",_xldudf_A_ENTICON(D20))</f>
        <v>#VALUE!</v>
      </c>
      <c r="H20" t="s">
        <v>564</v>
      </c>
    </row>
    <row r="21" spans="2:8" x14ac:dyDescent="0.25">
      <c r="B21" s="3"/>
      <c r="C21" t="e" cm="1">
        <f t="array" ref="C21">_xlfn.TEXTSPLIT(B21, """")</f>
        <v>#VALUE!</v>
      </c>
      <c r="F21" t="str" cm="1">
        <f t="array" ref="F21">IF(D21="","",_xldudf_A_ENTICON(D21))</f>
        <v/>
      </c>
      <c r="H21" t="s">
        <v>564</v>
      </c>
    </row>
    <row r="22" spans="2:8" x14ac:dyDescent="0.25">
      <c r="B22" s="3" t="s">
        <v>24</v>
      </c>
      <c r="C22" t="str" cm="1">
        <f t="array" ref="C22:E22">_xlfn.TEXTSPLIT(B22, """")</f>
        <v xml:space="preserve">animalTurtle = </v>
      </c>
      <c r="D22" t="str">
        <v>AnimalTurtle</v>
      </c>
      <c r="E22" t="str">
        <v/>
      </c>
      <c r="F22" t="e" cm="1" vm="15">
        <f t="array" ref="F22">IF(D22="","",_xldudf_A_ENTICON(D22))</f>
        <v>#VALUE!</v>
      </c>
      <c r="H22" t="s">
        <v>564</v>
      </c>
    </row>
    <row r="23" spans="2:8" x14ac:dyDescent="0.25">
      <c r="B23" s="3"/>
      <c r="C23" t="e" cm="1">
        <f t="array" ref="C23">_xlfn.TEXTSPLIT(B23, """")</f>
        <v>#VALUE!</v>
      </c>
      <c r="F23" t="str" cm="1">
        <f t="array" ref="F23">IF(D23="","",_xldudf_A_ENTICON(D23))</f>
        <v/>
      </c>
      <c r="H23" t="s">
        <v>564</v>
      </c>
    </row>
    <row r="24" spans="2:8" x14ac:dyDescent="0.25">
      <c r="B24" s="3" t="s">
        <v>25</v>
      </c>
      <c r="C24" t="str" cm="1">
        <f t="array" ref="C24:E24">_xlfn.TEXTSPLIT(B24, """")</f>
        <v xml:space="preserve">appFolder = </v>
      </c>
      <c r="D24" t="str">
        <v>AppFolder</v>
      </c>
      <c r="E24" t="str">
        <v/>
      </c>
      <c r="F24" t="e" cm="1" vm="16">
        <f t="array" ref="F24">IF(D24="","",_xldudf_A_ENTICON(D24))</f>
        <v>#VALUE!</v>
      </c>
      <c r="H24" t="s">
        <v>564</v>
      </c>
    </row>
    <row r="25" spans="2:8" x14ac:dyDescent="0.25">
      <c r="B25" s="3"/>
      <c r="C25" t="e" cm="1">
        <f t="array" ref="C25">_xlfn.TEXTSPLIT(B25, """")</f>
        <v>#VALUE!</v>
      </c>
      <c r="F25" t="str" cm="1">
        <f t="array" ref="F25">IF(D25="","",_xldudf_A_ENTICON(D25))</f>
        <v/>
      </c>
      <c r="H25" t="s">
        <v>564</v>
      </c>
    </row>
    <row r="26" spans="2:8" x14ac:dyDescent="0.25">
      <c r="B26" s="3" t="s">
        <v>26</v>
      </c>
      <c r="C26" t="str" cm="1">
        <f t="array" ref="C26:E26">_xlfn.TEXTSPLIT(B26, """")</f>
        <v xml:space="preserve">appGeneric = </v>
      </c>
      <c r="D26" t="str">
        <v>AppGeneric</v>
      </c>
      <c r="E26" t="str">
        <v/>
      </c>
      <c r="F26" t="e" cm="1" vm="17">
        <f t="array" ref="F26">IF(D26="","",_xldudf_A_ENTICON(D26))</f>
        <v>#VALUE!</v>
      </c>
      <c r="H26" t="s">
        <v>564</v>
      </c>
    </row>
    <row r="27" spans="2:8" x14ac:dyDescent="0.25">
      <c r="B27" s="3"/>
      <c r="C27" t="e" cm="1">
        <f t="array" ref="C27">_xlfn.TEXTSPLIT(B27, """")</f>
        <v>#VALUE!</v>
      </c>
      <c r="F27" t="str" cm="1">
        <f t="array" ref="F27">IF(D27="","",_xldudf_A_ENTICON(D27))</f>
        <v/>
      </c>
      <c r="H27" t="s">
        <v>564</v>
      </c>
    </row>
    <row r="28" spans="2:8" x14ac:dyDescent="0.25">
      <c r="B28" s="3" t="s">
        <v>27</v>
      </c>
      <c r="C28" t="str" cm="1">
        <f t="array" ref="C28:E28">_xlfn.TEXTSPLIT(B28, """")</f>
        <v xml:space="preserve">apple = </v>
      </c>
      <c r="D28" t="str">
        <v>Apple</v>
      </c>
      <c r="E28" t="str">
        <v/>
      </c>
      <c r="F28" t="e" cm="1" vm="18">
        <f t="array" ref="F28">IF(D28="","",_xldudf_A_ENTICON(D28))</f>
        <v>#VALUE!</v>
      </c>
      <c r="H28" t="s">
        <v>564</v>
      </c>
    </row>
    <row r="29" spans="2:8" x14ac:dyDescent="0.25">
      <c r="B29" s="3"/>
      <c r="C29" t="e" cm="1">
        <f t="array" ref="C29">_xlfn.TEXTSPLIT(B29, """")</f>
        <v>#VALUE!</v>
      </c>
      <c r="F29" t="str" cm="1">
        <f t="array" ref="F29">IF(D29="","",_xldudf_A_ENTICON(D29))</f>
        <v/>
      </c>
      <c r="H29" t="s">
        <v>564</v>
      </c>
    </row>
    <row r="30" spans="2:8" x14ac:dyDescent="0.25">
      <c r="B30" s="3" t="s">
        <v>28</v>
      </c>
      <c r="C30" t="str" cm="1">
        <f t="array" ref="C30:E30">_xlfn.TEXTSPLIT(B30, """")</f>
        <v xml:space="preserve">approvalsApp = </v>
      </c>
      <c r="D30" t="str">
        <v>ApprovalsApp</v>
      </c>
      <c r="E30" t="str">
        <v/>
      </c>
      <c r="F30" t="e" cm="1" vm="19">
        <f t="array" ref="F30">IF(D30="","",_xldudf_A_ENTICON(D30))</f>
        <v>#VALUE!</v>
      </c>
      <c r="H30" t="s">
        <v>564</v>
      </c>
    </row>
    <row r="31" spans="2:8" x14ac:dyDescent="0.25">
      <c r="B31" s="3"/>
      <c r="C31" t="e" cm="1">
        <f t="array" ref="C31">_xlfn.TEXTSPLIT(B31, """")</f>
        <v>#VALUE!</v>
      </c>
      <c r="F31" t="str" cm="1">
        <f t="array" ref="F31">IF(D31="","",_xldudf_A_ENTICON(D31))</f>
        <v/>
      </c>
      <c r="H31" t="s">
        <v>564</v>
      </c>
    </row>
    <row r="32" spans="2:8" x14ac:dyDescent="0.25">
      <c r="B32" s="3" t="s">
        <v>29</v>
      </c>
      <c r="C32" t="str" cm="1">
        <f t="array" ref="C32:E32">_xlfn.TEXTSPLIT(B32, """")</f>
        <v xml:space="preserve">archive = </v>
      </c>
      <c r="D32" t="str">
        <v>Archive</v>
      </c>
      <c r="E32" t="str">
        <v/>
      </c>
      <c r="F32" t="e" cm="1" vm="20">
        <f t="array" ref="F32">IF(D32="","",_xldudf_A_ENTICON(D32))</f>
        <v>#VALUE!</v>
      </c>
      <c r="H32" t="s">
        <v>564</v>
      </c>
    </row>
    <row r="33" spans="2:8" x14ac:dyDescent="0.25">
      <c r="B33" s="3"/>
      <c r="C33" t="e" cm="1">
        <f t="array" ref="C33">_xlfn.TEXTSPLIT(B33, """")</f>
        <v>#VALUE!</v>
      </c>
      <c r="F33" t="str" cm="1">
        <f t="array" ref="F33">IF(D33="","",_xldudf_A_ENTICON(D33))</f>
        <v/>
      </c>
      <c r="H33" t="s">
        <v>564</v>
      </c>
    </row>
    <row r="34" spans="2:8" x14ac:dyDescent="0.25">
      <c r="B34" s="3" t="s">
        <v>30</v>
      </c>
      <c r="C34" t="str" cm="1">
        <f t="array" ref="C34:E34">_xlfn.TEXTSPLIT(B34, """")</f>
        <v xml:space="preserve">archiveMultiple = </v>
      </c>
      <c r="D34" t="str">
        <v>ArchiveMultiple</v>
      </c>
      <c r="E34" t="str">
        <v/>
      </c>
      <c r="F34" t="e" cm="1" vm="21">
        <f t="array" ref="F34">IF(D34="","",_xldudf_A_ENTICON(D34))</f>
        <v>#VALUE!</v>
      </c>
      <c r="H34" t="s">
        <v>564</v>
      </c>
    </row>
    <row r="35" spans="2:8" x14ac:dyDescent="0.25">
      <c r="B35" s="3"/>
      <c r="C35" t="e" cm="1">
        <f t="array" ref="C35">_xlfn.TEXTSPLIT(B35, """")</f>
        <v>#VALUE!</v>
      </c>
      <c r="F35" t="str" cm="1">
        <f t="array" ref="F35">IF(D35="","",_xldudf_A_ENTICON(D35))</f>
        <v/>
      </c>
      <c r="H35" t="s">
        <v>564</v>
      </c>
    </row>
    <row r="36" spans="2:8" x14ac:dyDescent="0.25">
      <c r="B36" s="3" t="s">
        <v>31</v>
      </c>
      <c r="C36" t="str" cm="1">
        <f t="array" ref="C36:E36">_xlfn.TEXTSPLIT(B36, """")</f>
        <v xml:space="preserve">arrowTrendingLines = </v>
      </c>
      <c r="D36" t="str">
        <v>ArrowTrendingLines</v>
      </c>
      <c r="E36" t="str">
        <v/>
      </c>
      <c r="F36" t="e" cm="1" vm="22">
        <f t="array" ref="F36">IF(D36="","",_xldudf_A_ENTICON(D36))</f>
        <v>#VALUE!</v>
      </c>
      <c r="H36" t="s">
        <v>564</v>
      </c>
    </row>
    <row r="37" spans="2:8" x14ac:dyDescent="0.25">
      <c r="B37" s="3"/>
      <c r="C37" t="e" cm="1">
        <f t="array" ref="C37">_xlfn.TEXTSPLIT(B37, """")</f>
        <v>#VALUE!</v>
      </c>
      <c r="F37" t="str" cm="1">
        <f t="array" ref="F37">IF(D37="","",_xldudf_A_ENTICON(D37))</f>
        <v/>
      </c>
      <c r="H37" t="s">
        <v>564</v>
      </c>
    </row>
    <row r="38" spans="2:8" x14ac:dyDescent="0.25">
      <c r="B38" s="3" t="s">
        <v>32</v>
      </c>
      <c r="C38" t="str" cm="1">
        <f t="array" ref="C38:E38">_xlfn.TEXTSPLIT(B38, """")</f>
        <v xml:space="preserve">art = </v>
      </c>
      <c r="D38" t="str">
        <v>Art</v>
      </c>
      <c r="E38" t="str">
        <v/>
      </c>
      <c r="F38" t="e" cm="1" vm="23">
        <f t="array" ref="F38">IF(D38="","",_xldudf_A_ENTICON(D38))</f>
        <v>#VALUE!</v>
      </c>
      <c r="H38" t="s">
        <v>564</v>
      </c>
    </row>
    <row r="39" spans="2:8" x14ac:dyDescent="0.25">
      <c r="B39" s="3"/>
      <c r="C39" t="e" cm="1">
        <f t="array" ref="C39">_xlfn.TEXTSPLIT(B39, """")</f>
        <v>#VALUE!</v>
      </c>
      <c r="F39" t="str" cm="1">
        <f t="array" ref="F39">IF(D39="","",_xldudf_A_ENTICON(D39))</f>
        <v/>
      </c>
      <c r="H39" t="s">
        <v>564</v>
      </c>
    </row>
    <row r="40" spans="2:8" x14ac:dyDescent="0.25">
      <c r="B40" s="3" t="s">
        <v>33</v>
      </c>
      <c r="C40" t="str" cm="1">
        <f t="array" ref="C40:E40">_xlfn.TEXTSPLIT(B40, """")</f>
        <v xml:space="preserve">atom = </v>
      </c>
      <c r="D40" t="str">
        <v>Atom</v>
      </c>
      <c r="E40" t="str">
        <v/>
      </c>
      <c r="F40" t="e" cm="1" vm="24">
        <f t="array" ref="F40">IF(D40="","",_xldudf_A_ENTICON(D40))</f>
        <v>#VALUE!</v>
      </c>
      <c r="H40" t="s">
        <v>564</v>
      </c>
    </row>
    <row r="41" spans="2:8" x14ac:dyDescent="0.25">
      <c r="B41" s="3"/>
      <c r="C41" t="e" cm="1">
        <f t="array" ref="C41">_xlfn.TEXTSPLIT(B41, """")</f>
        <v>#VALUE!</v>
      </c>
      <c r="F41" t="str" cm="1">
        <f t="array" ref="F41">IF(D41="","",_xldudf_A_ENTICON(D41))</f>
        <v/>
      </c>
      <c r="H41" t="s">
        <v>564</v>
      </c>
    </row>
    <row r="42" spans="2:8" x14ac:dyDescent="0.25">
      <c r="B42" s="3" t="s">
        <v>34</v>
      </c>
      <c r="C42" t="str" cm="1">
        <f t="array" ref="C42:E42">_xlfn.TEXTSPLIT(B42, """")</f>
        <v xml:space="preserve">attach = </v>
      </c>
      <c r="D42" t="str">
        <v>Attach</v>
      </c>
      <c r="E42" t="str">
        <v/>
      </c>
      <c r="F42" t="e" cm="1" vm="25">
        <f t="array" ref="F42">IF(D42="","",_xldudf_A_ENTICON(D42))</f>
        <v>#VALUE!</v>
      </c>
      <c r="H42" t="s">
        <v>564</v>
      </c>
    </row>
    <row r="43" spans="2:8" x14ac:dyDescent="0.25">
      <c r="B43" s="3"/>
      <c r="C43" t="e" cm="1">
        <f t="array" ref="C43">_xlfn.TEXTSPLIT(B43, """")</f>
        <v>#VALUE!</v>
      </c>
      <c r="F43" t="str" cm="1">
        <f t="array" ref="F43">IF(D43="","",_xldudf_A_ENTICON(D43))</f>
        <v/>
      </c>
      <c r="H43" t="s">
        <v>564</v>
      </c>
    </row>
    <row r="44" spans="2:8" x14ac:dyDescent="0.25">
      <c r="B44" s="3" t="s">
        <v>35</v>
      </c>
      <c r="C44" t="str" cm="1">
        <f t="array" ref="C44:E44">_xlfn.TEXTSPLIT(B44, """")</f>
        <v xml:space="preserve">automobile = </v>
      </c>
      <c r="D44" t="str">
        <v>Automobile</v>
      </c>
      <c r="E44" t="str">
        <v/>
      </c>
      <c r="F44" t="e" cm="1" vm="26">
        <f t="array" ref="F44">IF(D44="","",_xldudf_A_ENTICON(D44))</f>
        <v>#VALUE!</v>
      </c>
      <c r="H44" t="s">
        <v>564</v>
      </c>
    </row>
    <row r="45" spans="2:8" x14ac:dyDescent="0.25">
      <c r="B45" s="3"/>
      <c r="C45" t="e" cm="1">
        <f t="array" ref="C45">_xlfn.TEXTSPLIT(B45, """")</f>
        <v>#VALUE!</v>
      </c>
      <c r="F45" t="str" cm="1">
        <f t="array" ref="F45">IF(D45="","",_xldudf_A_ENTICON(D45))</f>
        <v/>
      </c>
      <c r="H45" t="s">
        <v>564</v>
      </c>
    </row>
    <row r="46" spans="2:8" x14ac:dyDescent="0.25">
      <c r="B46" s="3" t="s">
        <v>36</v>
      </c>
      <c r="C46" t="str" cm="1">
        <f t="array" ref="C46:E46">_xlfn.TEXTSPLIT(B46, """")</f>
        <v xml:space="preserve">autosum = </v>
      </c>
      <c r="D46" t="str">
        <v>Autosum</v>
      </c>
      <c r="E46" t="str">
        <v/>
      </c>
      <c r="F46" t="e" cm="1" vm="27">
        <f t="array" ref="F46">IF(D46="","",_xldudf_A_ENTICON(D46))</f>
        <v>#VALUE!</v>
      </c>
      <c r="H46" t="s">
        <v>564</v>
      </c>
    </row>
    <row r="47" spans="2:8" x14ac:dyDescent="0.25">
      <c r="B47" s="3"/>
      <c r="C47" t="e" cm="1">
        <f t="array" ref="C47">_xlfn.TEXTSPLIT(B47, """")</f>
        <v>#VALUE!</v>
      </c>
      <c r="F47" t="str" cm="1">
        <f t="array" ref="F47">IF(D47="","",_xldudf_A_ENTICON(D47))</f>
        <v/>
      </c>
      <c r="H47" t="s">
        <v>564</v>
      </c>
    </row>
    <row r="48" spans="2:8" x14ac:dyDescent="0.25">
      <c r="B48" s="3" t="s">
        <v>37</v>
      </c>
      <c r="C48" t="str" cm="1">
        <f t="array" ref="C48:E48">_xlfn.TEXTSPLIT(B48, """")</f>
        <v xml:space="preserve">backpack = </v>
      </c>
      <c r="D48" t="str">
        <v>Backpack</v>
      </c>
      <c r="E48" t="str">
        <v/>
      </c>
      <c r="F48" t="e" cm="1" vm="28">
        <f t="array" ref="F48">IF(D48="","",_xldudf_A_ENTICON(D48))</f>
        <v>#VALUE!</v>
      </c>
      <c r="H48" t="s">
        <v>564</v>
      </c>
    </row>
    <row r="49" spans="2:8" x14ac:dyDescent="0.25">
      <c r="B49" s="3"/>
      <c r="C49" t="e" cm="1">
        <f t="array" ref="C49">_xlfn.TEXTSPLIT(B49, """")</f>
        <v>#VALUE!</v>
      </c>
      <c r="F49" t="str" cm="1">
        <f t="array" ref="F49">IF(D49="","",_xldudf_A_ENTICON(D49))</f>
        <v/>
      </c>
      <c r="H49" t="s">
        <v>564</v>
      </c>
    </row>
    <row r="50" spans="2:8" x14ac:dyDescent="0.25">
      <c r="B50" s="3" t="s">
        <v>38</v>
      </c>
      <c r="C50" t="str" cm="1">
        <f t="array" ref="C50:E50">_xlfn.TEXTSPLIT(B50, """")</f>
        <v xml:space="preserve">badge = </v>
      </c>
      <c r="D50" t="str">
        <v>Badge</v>
      </c>
      <c r="E50" t="str">
        <v/>
      </c>
      <c r="F50" t="e" cm="1" vm="29">
        <f t="array" ref="F50">IF(D50="","",_xldudf_A_ENTICON(D50))</f>
        <v>#VALUE!</v>
      </c>
      <c r="H50" t="s">
        <v>564</v>
      </c>
    </row>
    <row r="51" spans="2:8" x14ac:dyDescent="0.25">
      <c r="B51" s="3"/>
      <c r="C51" t="e" cm="1">
        <f t="array" ref="C51">_xlfn.TEXTSPLIT(B51, """")</f>
        <v>#VALUE!</v>
      </c>
      <c r="F51" t="str" cm="1">
        <f t="array" ref="F51">IF(D51="","",_xldudf_A_ENTICON(D51))</f>
        <v/>
      </c>
      <c r="H51" t="s">
        <v>564</v>
      </c>
    </row>
    <row r="52" spans="2:8" x14ac:dyDescent="0.25">
      <c r="B52" s="3" t="s">
        <v>39</v>
      </c>
      <c r="C52" t="str" cm="1">
        <f t="array" ref="C52:E52">_xlfn.TEXTSPLIT(B52, """")</f>
        <v xml:space="preserve">balloon = </v>
      </c>
      <c r="D52" t="str">
        <v>Balloon</v>
      </c>
      <c r="E52" t="str">
        <v/>
      </c>
      <c r="F52" t="e" cm="1" vm="30">
        <f t="array" ref="F52">IF(D52="","",_xldudf_A_ENTICON(D52))</f>
        <v>#VALUE!</v>
      </c>
      <c r="H52" t="s">
        <v>564</v>
      </c>
    </row>
    <row r="53" spans="2:8" x14ac:dyDescent="0.25">
      <c r="B53" s="3"/>
      <c r="C53" t="e" cm="1">
        <f t="array" ref="C53">_xlfn.TEXTSPLIT(B53, """")</f>
        <v>#VALUE!</v>
      </c>
      <c r="F53" t="str" cm="1">
        <f t="array" ref="F53">IF(D53="","",_xldudf_A_ENTICON(D53))</f>
        <v/>
      </c>
      <c r="H53" t="s">
        <v>564</v>
      </c>
    </row>
    <row r="54" spans="2:8" x14ac:dyDescent="0.25">
      <c r="B54" s="3" t="s">
        <v>40</v>
      </c>
      <c r="C54" t="str" cm="1">
        <f t="array" ref="C54:E54">_xlfn.TEXTSPLIT(B54, """")</f>
        <v xml:space="preserve">bank = </v>
      </c>
      <c r="D54" t="str">
        <v>Bank</v>
      </c>
      <c r="E54" t="str">
        <v/>
      </c>
      <c r="F54" t="e" cm="1" vm="31">
        <f t="array" ref="F54">IF(D54="","",_xldudf_A_ENTICON(D54))</f>
        <v>#VALUE!</v>
      </c>
      <c r="H54" t="s">
        <v>564</v>
      </c>
    </row>
    <row r="55" spans="2:8" x14ac:dyDescent="0.25">
      <c r="B55" s="3"/>
      <c r="C55" t="e" cm="1">
        <f t="array" ref="C55">_xlfn.TEXTSPLIT(B55, """")</f>
        <v>#VALUE!</v>
      </c>
      <c r="F55" t="str" cm="1">
        <f t="array" ref="F55">IF(D55="","",_xldudf_A_ENTICON(D55))</f>
        <v/>
      </c>
      <c r="H55" t="s">
        <v>564</v>
      </c>
    </row>
    <row r="56" spans="2:8" x14ac:dyDescent="0.25">
      <c r="B56" s="3" t="s">
        <v>41</v>
      </c>
      <c r="C56" t="str" cm="1">
        <f t="array" ref="C56:E56">_xlfn.TEXTSPLIT(B56, """")</f>
        <v xml:space="preserve">barcodeScanner = </v>
      </c>
      <c r="D56" t="str">
        <v>BarcodeScanner</v>
      </c>
      <c r="E56" t="str">
        <v/>
      </c>
      <c r="F56" t="e" cm="1" vm="32">
        <f t="array" ref="F56">IF(D56="","",_xldudf_A_ENTICON(D56))</f>
        <v>#VALUE!</v>
      </c>
      <c r="H56" t="s">
        <v>564</v>
      </c>
    </row>
    <row r="57" spans="2:8" x14ac:dyDescent="0.25">
      <c r="B57" s="3"/>
      <c r="C57" t="e" cm="1">
        <f t="array" ref="C57">_xlfn.TEXTSPLIT(B57, """")</f>
        <v>#VALUE!</v>
      </c>
      <c r="F57" t="str" cm="1">
        <f t="array" ref="F57">IF(D57="","",_xldudf_A_ENTICON(D57))</f>
        <v/>
      </c>
      <c r="H57" t="s">
        <v>564</v>
      </c>
    </row>
    <row r="58" spans="2:8" x14ac:dyDescent="0.25">
      <c r="B58" s="3" t="s">
        <v>42</v>
      </c>
      <c r="C58" t="str" cm="1">
        <f t="array" ref="C58:E58">_xlfn.TEXTSPLIT(B58, """")</f>
        <v xml:space="preserve">basketball = </v>
      </c>
      <c r="D58" t="str">
        <v>Basketball</v>
      </c>
      <c r="E58" t="str">
        <v/>
      </c>
      <c r="F58" t="e" cm="1" vm="33">
        <f t="array" ref="F58">IF(D58="","",_xldudf_A_ENTICON(D58))</f>
        <v>#VALUE!</v>
      </c>
      <c r="H58" t="s">
        <v>564</v>
      </c>
    </row>
    <row r="59" spans="2:8" x14ac:dyDescent="0.25">
      <c r="B59" s="3"/>
      <c r="C59" t="e" cm="1">
        <f t="array" ref="C59">_xlfn.TEXTSPLIT(B59, """")</f>
        <v>#VALUE!</v>
      </c>
      <c r="F59" t="str" cm="1">
        <f t="array" ref="F59">IF(D59="","",_xldudf_A_ENTICON(D59))</f>
        <v/>
      </c>
      <c r="H59" t="s">
        <v>564</v>
      </c>
    </row>
    <row r="60" spans="2:8" x14ac:dyDescent="0.25">
      <c r="B60" s="3" t="s">
        <v>43</v>
      </c>
      <c r="C60" t="str" cm="1">
        <f t="array" ref="C60:E60">_xlfn.TEXTSPLIT(B60, """")</f>
        <v xml:space="preserve">battery0 = </v>
      </c>
      <c r="D60" t="str">
        <v>Battery0</v>
      </c>
      <c r="E60" t="str">
        <v/>
      </c>
      <c r="F60" t="e" cm="1" vm="34">
        <f t="array" ref="F60">IF(D60="","",_xldudf_A_ENTICON(D60))</f>
        <v>#VALUE!</v>
      </c>
      <c r="H60" t="s">
        <v>564</v>
      </c>
    </row>
    <row r="61" spans="2:8" x14ac:dyDescent="0.25">
      <c r="B61" s="3"/>
      <c r="C61" t="e" cm="1">
        <f t="array" ref="C61">_xlfn.TEXTSPLIT(B61, """")</f>
        <v>#VALUE!</v>
      </c>
      <c r="F61" t="str" cm="1">
        <f t="array" ref="F61">IF(D61="","",_xldudf_A_ENTICON(D61))</f>
        <v/>
      </c>
      <c r="H61" t="s">
        <v>564</v>
      </c>
    </row>
    <row r="62" spans="2:8" x14ac:dyDescent="0.25">
      <c r="B62" s="3" t="s">
        <v>44</v>
      </c>
      <c r="C62" t="str" cm="1">
        <f t="array" ref="C62:E62">_xlfn.TEXTSPLIT(B62, """")</f>
        <v xml:space="preserve">battery10 = </v>
      </c>
      <c r="D62" t="str">
        <v>Battery10</v>
      </c>
      <c r="E62" t="str">
        <v/>
      </c>
      <c r="F62" t="e" cm="1" vm="35">
        <f t="array" ref="F62">IF(D62="","",_xldudf_A_ENTICON(D62))</f>
        <v>#VALUE!</v>
      </c>
      <c r="H62" t="s">
        <v>564</v>
      </c>
    </row>
    <row r="63" spans="2:8" x14ac:dyDescent="0.25">
      <c r="B63" s="3"/>
      <c r="C63" t="e" cm="1">
        <f t="array" ref="C63">_xlfn.TEXTSPLIT(B63, """")</f>
        <v>#VALUE!</v>
      </c>
      <c r="F63" t="str" cm="1">
        <f t="array" ref="F63">IF(D63="","",_xldudf_A_ENTICON(D63))</f>
        <v/>
      </c>
      <c r="H63" t="s">
        <v>564</v>
      </c>
    </row>
    <row r="64" spans="2:8" x14ac:dyDescent="0.25">
      <c r="B64" s="3" t="s">
        <v>45</v>
      </c>
      <c r="C64" t="str" cm="1">
        <f t="array" ref="C64:E64">_xlfn.TEXTSPLIT(B64, """")</f>
        <v xml:space="preserve">beach = </v>
      </c>
      <c r="D64" t="str">
        <v>Beach</v>
      </c>
      <c r="E64" t="str">
        <v/>
      </c>
      <c r="F64" t="e" cm="1" vm="36">
        <f t="array" ref="F64">IF(D64="","",_xldudf_A_ENTICON(D64))</f>
        <v>#VALUE!</v>
      </c>
      <c r="H64" t="s">
        <v>564</v>
      </c>
    </row>
    <row r="65" spans="2:8" x14ac:dyDescent="0.25">
      <c r="B65" s="3"/>
      <c r="C65" t="e" cm="1">
        <f t="array" ref="C65">_xlfn.TEXTSPLIT(B65, """")</f>
        <v>#VALUE!</v>
      </c>
      <c r="F65" t="str" cm="1">
        <f t="array" ref="F65">IF(D65="","",_xldudf_A_ENTICON(D65))</f>
        <v/>
      </c>
      <c r="H65" t="s">
        <v>564</v>
      </c>
    </row>
    <row r="66" spans="2:8" x14ac:dyDescent="0.25">
      <c r="B66" s="3" t="s">
        <v>46</v>
      </c>
      <c r="C66" t="str" cm="1">
        <f t="array" ref="C66:E66">_xlfn.TEXTSPLIT(B66, """")</f>
        <v xml:space="preserve">beaker = </v>
      </c>
      <c r="D66" t="str">
        <v>Beaker</v>
      </c>
      <c r="E66" t="str">
        <v/>
      </c>
      <c r="F66" t="e" cm="1" vm="37">
        <f t="array" ref="F66">IF(D66="","",_xldudf_A_ENTICON(D66))</f>
        <v>#VALUE!</v>
      </c>
      <c r="H66" t="s">
        <v>564</v>
      </c>
    </row>
    <row r="67" spans="2:8" x14ac:dyDescent="0.25">
      <c r="B67" s="3"/>
      <c r="C67" t="e" cm="1">
        <f t="array" ref="C67">_xlfn.TEXTSPLIT(B67, """")</f>
        <v>#VALUE!</v>
      </c>
      <c r="F67" t="str" cm="1">
        <f t="array" ref="F67">IF(D67="","",_xldudf_A_ENTICON(D67))</f>
        <v/>
      </c>
      <c r="H67" t="s">
        <v>564</v>
      </c>
    </row>
    <row r="68" spans="2:8" x14ac:dyDescent="0.25">
      <c r="B68" s="3" t="s">
        <v>47</v>
      </c>
      <c r="C68" t="str" cm="1">
        <f t="array" ref="C68:E68">_xlfn.TEXTSPLIT(B68, """")</f>
        <v xml:space="preserve">bed = </v>
      </c>
      <c r="D68" t="str">
        <v>Bed</v>
      </c>
      <c r="E68" t="str">
        <v/>
      </c>
      <c r="F68" t="e" cm="1" vm="38">
        <f t="array" ref="F68">IF(D68="","",_xldudf_A_ENTICON(D68))</f>
        <v>#VALUE!</v>
      </c>
      <c r="H68" t="s">
        <v>564</v>
      </c>
    </row>
    <row r="69" spans="2:8" x14ac:dyDescent="0.25">
      <c r="B69" s="3"/>
      <c r="C69" t="e" cm="1">
        <f t="array" ref="C69">_xlfn.TEXTSPLIT(B69, """")</f>
        <v>#VALUE!</v>
      </c>
      <c r="F69" t="str" cm="1">
        <f t="array" ref="F69">IF(D69="","",_xldudf_A_ENTICON(D69))</f>
        <v/>
      </c>
      <c r="H69" t="s">
        <v>564</v>
      </c>
    </row>
    <row r="70" spans="2:8" x14ac:dyDescent="0.25">
      <c r="B70" s="3" t="s">
        <v>48</v>
      </c>
      <c r="C70" t="str" cm="1">
        <f t="array" ref="C70:E70">_xlfn.TEXTSPLIT(B70, """")</f>
        <v xml:space="preserve">binFull = </v>
      </c>
      <c r="D70" t="str">
        <v>BinFull</v>
      </c>
      <c r="E70" t="str">
        <v/>
      </c>
      <c r="F70" t="e" cm="1" vm="39">
        <f t="array" ref="F70">IF(D70="","",_xldudf_A_ENTICON(D70))</f>
        <v>#VALUE!</v>
      </c>
      <c r="H70" t="s">
        <v>564</v>
      </c>
    </row>
    <row r="71" spans="2:8" x14ac:dyDescent="0.25">
      <c r="B71" s="3"/>
      <c r="C71" t="e" cm="1">
        <f t="array" ref="C71">_xlfn.TEXTSPLIT(B71, """")</f>
        <v>#VALUE!</v>
      </c>
      <c r="F71" t="str" cm="1">
        <f t="array" ref="F71">IF(D71="","",_xldudf_A_ENTICON(D71))</f>
        <v/>
      </c>
      <c r="H71" t="s">
        <v>564</v>
      </c>
    </row>
    <row r="72" spans="2:8" x14ac:dyDescent="0.25">
      <c r="B72" s="3" t="s">
        <v>49</v>
      </c>
      <c r="C72" t="str" cm="1">
        <f t="array" ref="C72:E72">_xlfn.TEXTSPLIT(B72, """")</f>
        <v xml:space="preserve">bird = </v>
      </c>
      <c r="D72" t="str">
        <v>Bird</v>
      </c>
      <c r="E72" t="str">
        <v/>
      </c>
      <c r="F72" t="e" cm="1" vm="40">
        <f t="array" ref="F72">IF(D72="","",_xldudf_A_ENTICON(D72))</f>
        <v>#VALUE!</v>
      </c>
      <c r="H72" t="s">
        <v>564</v>
      </c>
    </row>
    <row r="73" spans="2:8" x14ac:dyDescent="0.25">
      <c r="B73" s="3"/>
      <c r="C73" t="e" cm="1">
        <f t="array" ref="C73">_xlfn.TEXTSPLIT(B73, """")</f>
        <v>#VALUE!</v>
      </c>
      <c r="F73" t="str" cm="1">
        <f t="array" ref="F73">IF(D73="","",_xldudf_A_ENTICON(D73))</f>
        <v/>
      </c>
      <c r="H73" t="s">
        <v>564</v>
      </c>
    </row>
    <row r="74" spans="2:8" x14ac:dyDescent="0.25">
      <c r="B74" s="3" t="s">
        <v>50</v>
      </c>
      <c r="C74" t="str" cm="1">
        <f t="array" ref="C74:E74">_xlfn.TEXTSPLIT(B74, """")</f>
        <v xml:space="preserve">bluetooth = </v>
      </c>
      <c r="D74" t="str">
        <v>Bluetooth</v>
      </c>
      <c r="E74" t="str">
        <v/>
      </c>
      <c r="F74" t="e" cm="1" vm="41">
        <f t="array" ref="F74">IF(D74="","",_xldudf_A_ENTICON(D74))</f>
        <v>#VALUE!</v>
      </c>
      <c r="H74" t="s">
        <v>564</v>
      </c>
    </row>
    <row r="75" spans="2:8" x14ac:dyDescent="0.25">
      <c r="B75" s="3"/>
      <c r="C75" t="e" cm="1">
        <f t="array" ref="C75">_xlfn.TEXTSPLIT(B75, """")</f>
        <v>#VALUE!</v>
      </c>
      <c r="F75" t="str" cm="1">
        <f t="array" ref="F75">IF(D75="","",_xldudf_A_ENTICON(D75))</f>
        <v/>
      </c>
      <c r="H75" t="s">
        <v>564</v>
      </c>
    </row>
    <row r="76" spans="2:8" x14ac:dyDescent="0.25">
      <c r="B76" s="3" t="s">
        <v>51</v>
      </c>
      <c r="C76" t="str" cm="1">
        <f t="array" ref="C76:E76">_xlfn.TEXTSPLIT(B76, """")</f>
        <v xml:space="preserve">board = </v>
      </c>
      <c r="D76" t="str">
        <v>Board</v>
      </c>
      <c r="E76" t="str">
        <v/>
      </c>
      <c r="F76" t="e" cm="1" vm="42">
        <f t="array" ref="F76">IF(D76="","",_xldudf_A_ENTICON(D76))</f>
        <v>#VALUE!</v>
      </c>
      <c r="H76" t="s">
        <v>564</v>
      </c>
    </row>
    <row r="77" spans="2:8" x14ac:dyDescent="0.25">
      <c r="B77" s="3"/>
      <c r="C77" t="e" cm="1">
        <f t="array" ref="C77">_xlfn.TEXTSPLIT(B77, """")</f>
        <v>#VALUE!</v>
      </c>
      <c r="F77" t="str" cm="1">
        <f t="array" ref="F77">IF(D77="","",_xldudf_A_ENTICON(D77))</f>
        <v/>
      </c>
      <c r="H77" t="s">
        <v>564</v>
      </c>
    </row>
    <row r="78" spans="2:8" x14ac:dyDescent="0.25">
      <c r="B78" s="3" t="s">
        <v>52</v>
      </c>
      <c r="C78" t="str" cm="1">
        <f t="array" ref="C78:E78">_xlfn.TEXTSPLIT(B78, """")</f>
        <v xml:space="preserve">boardGames = </v>
      </c>
      <c r="D78" t="str">
        <v>BoardGames</v>
      </c>
      <c r="E78" t="str">
        <v/>
      </c>
      <c r="F78" t="e" cm="1" vm="43">
        <f t="array" ref="F78">IF(D78="","",_xldudf_A_ENTICON(D78))</f>
        <v>#VALUE!</v>
      </c>
      <c r="H78" t="s">
        <v>564</v>
      </c>
    </row>
    <row r="79" spans="2:8" x14ac:dyDescent="0.25">
      <c r="B79" s="3"/>
      <c r="C79" t="e" cm="1">
        <f t="array" ref="C79">_xlfn.TEXTSPLIT(B79, """")</f>
        <v>#VALUE!</v>
      </c>
      <c r="F79" t="str" cm="1">
        <f t="array" ref="F79">IF(D79="","",_xldudf_A_ENTICON(D79))</f>
        <v/>
      </c>
      <c r="H79" t="s">
        <v>564</v>
      </c>
    </row>
    <row r="80" spans="2:8" x14ac:dyDescent="0.25">
      <c r="B80" s="3" t="s">
        <v>53</v>
      </c>
      <c r="C80" t="str" cm="1">
        <f t="array" ref="C80:E80">_xlfn.TEXTSPLIT(B80, """")</f>
        <v xml:space="preserve">book = </v>
      </c>
      <c r="D80" t="str">
        <v>Book</v>
      </c>
      <c r="E80" t="str">
        <v/>
      </c>
      <c r="F80" t="e" cm="1" vm="44">
        <f t="array" ref="F80">IF(D80="","",_xldudf_A_ENTICON(D80))</f>
        <v>#VALUE!</v>
      </c>
      <c r="H80" t="s">
        <v>564</v>
      </c>
    </row>
    <row r="81" spans="2:8" x14ac:dyDescent="0.25">
      <c r="B81" s="3"/>
      <c r="C81" t="e" cm="1">
        <f t="array" ref="C81">_xlfn.TEXTSPLIT(B81, """")</f>
        <v>#VALUE!</v>
      </c>
      <c r="F81" t="str" cm="1">
        <f t="array" ref="F81">IF(D81="","",_xldudf_A_ENTICON(D81))</f>
        <v/>
      </c>
      <c r="H81" t="s">
        <v>564</v>
      </c>
    </row>
    <row r="82" spans="2:8" x14ac:dyDescent="0.25">
      <c r="B82" s="3" t="s">
        <v>54</v>
      </c>
      <c r="C82" t="str" cm="1">
        <f t="array" ref="C82:E82">_xlfn.TEXTSPLIT(B82, """")</f>
        <v xml:space="preserve">bookmark = </v>
      </c>
      <c r="D82" t="str">
        <v>Bookmark</v>
      </c>
      <c r="E82" t="str">
        <v/>
      </c>
      <c r="F82" t="e" cm="1" vm="45">
        <f t="array" ref="F82">IF(D82="","",_xldudf_A_ENTICON(D82))</f>
        <v>#VALUE!</v>
      </c>
      <c r="H82" t="s">
        <v>564</v>
      </c>
    </row>
    <row r="83" spans="2:8" x14ac:dyDescent="0.25">
      <c r="B83" s="3"/>
      <c r="C83" t="e" cm="1">
        <f t="array" ref="C83">_xlfn.TEXTSPLIT(B83, """")</f>
        <v>#VALUE!</v>
      </c>
      <c r="F83" t="str" cm="1">
        <f t="array" ref="F83">IF(D83="","",_xldudf_A_ENTICON(D83))</f>
        <v/>
      </c>
      <c r="H83" t="s">
        <v>564</v>
      </c>
    </row>
    <row r="84" spans="2:8" x14ac:dyDescent="0.25">
      <c r="B84" s="3" t="s">
        <v>55</v>
      </c>
      <c r="C84" t="str" cm="1">
        <f t="array" ref="C84:E84">_xlfn.TEXTSPLIT(B84, """")</f>
        <v xml:space="preserve">bookmarkMultiple = </v>
      </c>
      <c r="D84" t="str">
        <v>BookmarkMultiple</v>
      </c>
      <c r="E84" t="str">
        <v/>
      </c>
      <c r="F84" t="e" cm="1" vm="46">
        <f t="array" ref="F84">IF(D84="","",_xldudf_A_ENTICON(D84))</f>
        <v>#VALUE!</v>
      </c>
      <c r="H84" t="s">
        <v>564</v>
      </c>
    </row>
    <row r="85" spans="2:8" x14ac:dyDescent="0.25">
      <c r="B85" s="3"/>
      <c r="C85" t="e" cm="1">
        <f t="array" ref="C85">_xlfn.TEXTSPLIT(B85, """")</f>
        <v>#VALUE!</v>
      </c>
      <c r="F85" t="str" cm="1">
        <f t="array" ref="F85">IF(D85="","",_xldudf_A_ENTICON(D85))</f>
        <v/>
      </c>
      <c r="H85" t="s">
        <v>564</v>
      </c>
    </row>
    <row r="86" spans="2:8" x14ac:dyDescent="0.25">
      <c r="B86" s="3" t="s">
        <v>56</v>
      </c>
      <c r="C86" t="str" cm="1">
        <f t="array" ref="C86:E86">_xlfn.TEXTSPLIT(B86, """")</f>
        <v xml:space="preserve">bot = </v>
      </c>
      <c r="D86" t="str">
        <v>Bot</v>
      </c>
      <c r="E86" t="str">
        <v/>
      </c>
      <c r="F86" t="e" cm="1" vm="47">
        <f t="array" ref="F86">IF(D86="","",_xldudf_A_ENTICON(D86))</f>
        <v>#VALUE!</v>
      </c>
      <c r="H86" t="s">
        <v>564</v>
      </c>
    </row>
    <row r="87" spans="2:8" x14ac:dyDescent="0.25">
      <c r="B87" s="3"/>
      <c r="C87" t="e" cm="1">
        <f t="array" ref="C87">_xlfn.TEXTSPLIT(B87, """")</f>
        <v>#VALUE!</v>
      </c>
      <c r="F87" t="str" cm="1">
        <f t="array" ref="F87">IF(D87="","",_xldudf_A_ENTICON(D87))</f>
        <v/>
      </c>
      <c r="H87" t="s">
        <v>564</v>
      </c>
    </row>
    <row r="88" spans="2:8" x14ac:dyDescent="0.25">
      <c r="B88" s="3" t="s">
        <v>57</v>
      </c>
      <c r="C88" t="str" cm="1">
        <f t="array" ref="C88:E88">_xlfn.TEXTSPLIT(B88, """")</f>
        <v xml:space="preserve">bowlChopsticks = </v>
      </c>
      <c r="D88" t="str">
        <v>BowlChopsticks</v>
      </c>
      <c r="E88" t="str">
        <v/>
      </c>
      <c r="F88" t="e" cm="1" vm="48">
        <f t="array" ref="F88">IF(D88="","",_xldudf_A_ENTICON(D88))</f>
        <v>#VALUE!</v>
      </c>
      <c r="H88" t="s">
        <v>564</v>
      </c>
    </row>
    <row r="89" spans="2:8" x14ac:dyDescent="0.25">
      <c r="B89" s="3"/>
      <c r="C89" t="e" cm="1">
        <f t="array" ref="C89">_xlfn.TEXTSPLIT(B89, """")</f>
        <v>#VALUE!</v>
      </c>
      <c r="F89" t="str" cm="1">
        <f t="array" ref="F89">IF(D89="","",_xldudf_A_ENTICON(D89))</f>
        <v/>
      </c>
      <c r="H89" t="s">
        <v>564</v>
      </c>
    </row>
    <row r="90" spans="2:8" x14ac:dyDescent="0.25">
      <c r="B90" s="3" t="s">
        <v>58</v>
      </c>
      <c r="C90" t="str" cm="1">
        <f t="array" ref="C90:E90">_xlfn.TEXTSPLIT(B90, """")</f>
        <v xml:space="preserve">box = </v>
      </c>
      <c r="D90" t="str">
        <v>Box</v>
      </c>
      <c r="E90" t="str">
        <v/>
      </c>
      <c r="F90" t="e" cm="1" vm="49">
        <f t="array" ref="F90">IF(D90="","",_xldudf_A_ENTICON(D90))</f>
        <v>#VALUE!</v>
      </c>
      <c r="H90" t="s">
        <v>564</v>
      </c>
    </row>
    <row r="91" spans="2:8" x14ac:dyDescent="0.25">
      <c r="B91" s="3"/>
      <c r="C91" t="e" cm="1">
        <f t="array" ref="C91">_xlfn.TEXTSPLIT(B91, """")</f>
        <v>#VALUE!</v>
      </c>
      <c r="F91" t="str" cm="1">
        <f t="array" ref="F91">IF(D91="","",_xldudf_A_ENTICON(D91))</f>
        <v/>
      </c>
      <c r="H91" t="s">
        <v>564</v>
      </c>
    </row>
    <row r="92" spans="2:8" x14ac:dyDescent="0.25">
      <c r="B92" s="3" t="s">
        <v>59</v>
      </c>
      <c r="C92" t="str" cm="1">
        <f t="array" ref="C92:E92">_xlfn.TEXTSPLIT(B92, """")</f>
        <v xml:space="preserve">boxMultiple = </v>
      </c>
      <c r="D92" t="str">
        <v>BoxMultiple</v>
      </c>
      <c r="E92" t="str">
        <v/>
      </c>
      <c r="F92" t="e" cm="1" vm="50">
        <f t="array" ref="F92">IF(D92="","",_xldudf_A_ENTICON(D92))</f>
        <v>#VALUE!</v>
      </c>
      <c r="H92" t="s">
        <v>564</v>
      </c>
    </row>
    <row r="93" spans="2:8" x14ac:dyDescent="0.25">
      <c r="B93" s="3"/>
      <c r="C93" t="e" cm="1">
        <f t="array" ref="C93">_xlfn.TEXTSPLIT(B93, """")</f>
        <v>#VALUE!</v>
      </c>
      <c r="F93" t="str" cm="1">
        <f t="array" ref="F93">IF(D93="","",_xldudf_A_ENTICON(D93))</f>
        <v/>
      </c>
      <c r="H93" t="s">
        <v>564</v>
      </c>
    </row>
    <row r="94" spans="2:8" x14ac:dyDescent="0.25">
      <c r="B94" s="3" t="s">
        <v>60</v>
      </c>
      <c r="C94" t="str" cm="1">
        <f t="array" ref="C94:E94">_xlfn.TEXTSPLIT(B94, """")</f>
        <v xml:space="preserve">brainCircuit = </v>
      </c>
      <c r="D94" t="str">
        <v>BrainCircuit</v>
      </c>
      <c r="E94" t="str">
        <v/>
      </c>
      <c r="F94" t="e" cm="1" vm="51">
        <f t="array" ref="F94">IF(D94="","",_xldudf_A_ENTICON(D94))</f>
        <v>#VALUE!</v>
      </c>
      <c r="H94" t="s">
        <v>564</v>
      </c>
    </row>
    <row r="95" spans="2:8" x14ac:dyDescent="0.25">
      <c r="B95" s="3"/>
      <c r="C95" t="e" cm="1">
        <f t="array" ref="C95">_xlfn.TEXTSPLIT(B95, """")</f>
        <v>#VALUE!</v>
      </c>
      <c r="F95" t="str" cm="1">
        <f t="array" ref="F95">IF(D95="","",_xldudf_A_ENTICON(D95))</f>
        <v/>
      </c>
      <c r="H95" t="s">
        <v>564</v>
      </c>
    </row>
    <row r="96" spans="2:8" x14ac:dyDescent="0.25">
      <c r="B96" s="3" t="s">
        <v>61</v>
      </c>
      <c r="C96" t="str" cm="1">
        <f t="array" ref="C96:E96">_xlfn.TEXTSPLIT(B96, """")</f>
        <v xml:space="preserve">branch = </v>
      </c>
      <c r="D96" t="str">
        <v>Branch</v>
      </c>
      <c r="E96" t="str">
        <v/>
      </c>
      <c r="F96" t="e" cm="1" vm="52">
        <f t="array" ref="F96">IF(D96="","",_xldudf_A_ENTICON(D96))</f>
        <v>#VALUE!</v>
      </c>
      <c r="H96" t="s">
        <v>564</v>
      </c>
    </row>
    <row r="97" spans="2:8" x14ac:dyDescent="0.25">
      <c r="B97" s="3"/>
      <c r="C97" t="e" cm="1">
        <f t="array" ref="C97">_xlfn.TEXTSPLIT(B97, """")</f>
        <v>#VALUE!</v>
      </c>
      <c r="F97" t="str" cm="1">
        <f t="array" ref="F97">IF(D97="","",_xldudf_A_ENTICON(D97))</f>
        <v/>
      </c>
      <c r="H97" t="s">
        <v>564</v>
      </c>
    </row>
    <row r="98" spans="2:8" x14ac:dyDescent="0.25">
      <c r="B98" s="3" t="s">
        <v>62</v>
      </c>
      <c r="C98" t="str" cm="1">
        <f t="array" ref="C98:E98">_xlfn.TEXTSPLIT(B98, """")</f>
        <v xml:space="preserve">branchFork = </v>
      </c>
      <c r="D98" t="str">
        <v>BranchFork</v>
      </c>
      <c r="E98" t="str">
        <v/>
      </c>
      <c r="F98" t="e" cm="1" vm="53">
        <f t="array" ref="F98">IF(D98="","",_xldudf_A_ENTICON(D98))</f>
        <v>#VALUE!</v>
      </c>
      <c r="H98" t="s">
        <v>564</v>
      </c>
    </row>
    <row r="99" spans="2:8" x14ac:dyDescent="0.25">
      <c r="B99" s="3"/>
      <c r="C99" t="e" cm="1">
        <f t="array" ref="C99">_xlfn.TEXTSPLIT(B99, """")</f>
        <v>#VALUE!</v>
      </c>
      <c r="F99" t="str" cm="1">
        <f t="array" ref="F99">IF(D99="","",_xldudf_A_ENTICON(D99))</f>
        <v/>
      </c>
      <c r="H99" t="s">
        <v>564</v>
      </c>
    </row>
    <row r="100" spans="2:8" x14ac:dyDescent="0.25">
      <c r="B100" s="3" t="s">
        <v>63</v>
      </c>
      <c r="C100" t="str" cm="1">
        <f t="array" ref="C100:E100">_xlfn.TEXTSPLIT(B100, """")</f>
        <v xml:space="preserve">branchRequest = </v>
      </c>
      <c r="D100" t="str">
        <v>BranchRequest</v>
      </c>
      <c r="E100" t="str">
        <v/>
      </c>
      <c r="F100" t="e" cm="1" vm="54">
        <f t="array" ref="F100">IF(D100="","",_xldudf_A_ENTICON(D100))</f>
        <v>#VALUE!</v>
      </c>
      <c r="H100" t="s">
        <v>564</v>
      </c>
    </row>
    <row r="101" spans="2:8" x14ac:dyDescent="0.25">
      <c r="B101" s="3"/>
      <c r="C101" t="e" cm="1">
        <f t="array" ref="C101">_xlfn.TEXTSPLIT(B101, """")</f>
        <v>#VALUE!</v>
      </c>
      <c r="F101" t="str" cm="1">
        <f t="array" ref="F101">IF(D101="","",_xldudf_A_ENTICON(D101))</f>
        <v/>
      </c>
      <c r="H101" t="s">
        <v>564</v>
      </c>
    </row>
    <row r="102" spans="2:8" x14ac:dyDescent="0.25">
      <c r="B102" s="3" t="s">
        <v>64</v>
      </c>
      <c r="C102" t="str" cm="1">
        <f t="array" ref="C102:E102">_xlfn.TEXTSPLIT(B102, """")</f>
        <v xml:space="preserve">bridge = </v>
      </c>
      <c r="D102" t="str">
        <v>Bridge</v>
      </c>
      <c r="E102" t="str">
        <v/>
      </c>
      <c r="F102" t="e" cm="1" vm="55">
        <f t="array" ref="F102">IF(D102="","",_xldudf_A_ENTICON(D102))</f>
        <v>#VALUE!</v>
      </c>
      <c r="H102" t="s">
        <v>564</v>
      </c>
    </row>
    <row r="103" spans="2:8" x14ac:dyDescent="0.25">
      <c r="B103" s="3"/>
      <c r="C103" t="e" cm="1">
        <f t="array" ref="C103">_xlfn.TEXTSPLIT(B103, """")</f>
        <v>#VALUE!</v>
      </c>
      <c r="F103" t="str" cm="1">
        <f t="array" ref="F103">IF(D103="","",_xldudf_A_ENTICON(D103))</f>
        <v/>
      </c>
      <c r="H103" t="s">
        <v>564</v>
      </c>
    </row>
    <row r="104" spans="2:8" x14ac:dyDescent="0.25">
      <c r="B104" s="3" t="s">
        <v>65</v>
      </c>
      <c r="C104" t="str" cm="1">
        <f t="array" ref="C104:E104">_xlfn.TEXTSPLIT(B104, """")</f>
        <v xml:space="preserve">briefcase = </v>
      </c>
      <c r="D104" t="str">
        <v>Briefcase</v>
      </c>
      <c r="E104" t="str">
        <v/>
      </c>
      <c r="F104" t="e" cm="1" vm="56">
        <f t="array" ref="F104">IF(D104="","",_xldudf_A_ENTICON(D104))</f>
        <v>#VALUE!</v>
      </c>
      <c r="H104" t="s">
        <v>564</v>
      </c>
    </row>
    <row r="105" spans="2:8" x14ac:dyDescent="0.25">
      <c r="B105" s="3"/>
      <c r="C105" t="e" cm="1">
        <f t="array" ref="C105">_xlfn.TEXTSPLIT(B105, """")</f>
        <v>#VALUE!</v>
      </c>
      <c r="F105" t="str" cm="1">
        <f t="array" ref="F105">IF(D105="","",_xldudf_A_ENTICON(D105))</f>
        <v/>
      </c>
      <c r="H105" t="s">
        <v>564</v>
      </c>
    </row>
    <row r="106" spans="2:8" x14ac:dyDescent="0.25">
      <c r="B106" s="3" t="s">
        <v>66</v>
      </c>
      <c r="C106" t="str" cm="1">
        <f t="array" ref="C106:E106">_xlfn.TEXTSPLIT(B106, """")</f>
        <v xml:space="preserve">briefcaseMedical = </v>
      </c>
      <c r="D106" t="str">
        <v>BriefcaseMedical</v>
      </c>
      <c r="E106" t="str">
        <v/>
      </c>
      <c r="F106" t="e" cm="1" vm="57">
        <f t="array" ref="F106">IF(D106="","",_xldudf_A_ENTICON(D106))</f>
        <v>#VALUE!</v>
      </c>
      <c r="H106" t="s">
        <v>564</v>
      </c>
    </row>
    <row r="107" spans="2:8" x14ac:dyDescent="0.25">
      <c r="B107" s="3"/>
      <c r="C107" t="e" cm="1">
        <f t="array" ref="C107">_xlfn.TEXTSPLIT(B107, """")</f>
        <v>#VALUE!</v>
      </c>
      <c r="F107" t="str" cm="1">
        <f t="array" ref="F107">IF(D107="","",_xldudf_A_ENTICON(D107))</f>
        <v/>
      </c>
      <c r="H107" t="s">
        <v>564</v>
      </c>
    </row>
    <row r="108" spans="2:8" x14ac:dyDescent="0.25">
      <c r="B108" s="3" t="s">
        <v>67</v>
      </c>
      <c r="C108" t="str" cm="1">
        <f t="array" ref="C108:E108">_xlfn.TEXTSPLIT(B108, """")</f>
        <v xml:space="preserve">broadActivityFeed = </v>
      </c>
      <c r="D108" t="str">
        <v>BroadActivityFeed</v>
      </c>
      <c r="E108" t="str">
        <v/>
      </c>
      <c r="F108" t="e" cm="1" vm="58">
        <f t="array" ref="F108">IF(D108="","",_xldudf_A_ENTICON(D108))</f>
        <v>#VALUE!</v>
      </c>
      <c r="H108" t="s">
        <v>564</v>
      </c>
    </row>
    <row r="109" spans="2:8" x14ac:dyDescent="0.25">
      <c r="B109" s="3"/>
      <c r="C109" t="e" cm="1">
        <f t="array" ref="C109">_xlfn.TEXTSPLIT(B109, """")</f>
        <v>#VALUE!</v>
      </c>
      <c r="F109" t="str" cm="1">
        <f t="array" ref="F109">IF(D109="","",_xldudf_A_ENTICON(D109))</f>
        <v/>
      </c>
      <c r="H109" t="s">
        <v>564</v>
      </c>
    </row>
    <row r="110" spans="2:8" x14ac:dyDescent="0.25">
      <c r="B110" s="3" t="s">
        <v>68</v>
      </c>
      <c r="C110" t="str" cm="1">
        <f t="array" ref="C110:E110">_xlfn.TEXTSPLIT(B110, """")</f>
        <v xml:space="preserve">broom = </v>
      </c>
      <c r="D110" t="str">
        <v>Broom</v>
      </c>
      <c r="E110" t="str">
        <v/>
      </c>
      <c r="F110" t="e" cm="1" vm="59">
        <f t="array" ref="F110">IF(D110="","",_xldudf_A_ENTICON(D110))</f>
        <v>#VALUE!</v>
      </c>
      <c r="H110" t="s">
        <v>564</v>
      </c>
    </row>
    <row r="111" spans="2:8" x14ac:dyDescent="0.25">
      <c r="B111" s="3"/>
      <c r="C111" t="e" cm="1">
        <f t="array" ref="C111">_xlfn.TEXTSPLIT(B111, """")</f>
        <v>#VALUE!</v>
      </c>
      <c r="F111" t="str" cm="1">
        <f t="array" ref="F111">IF(D111="","",_xldudf_A_ENTICON(D111))</f>
        <v/>
      </c>
      <c r="H111" t="s">
        <v>564</v>
      </c>
    </row>
    <row r="112" spans="2:8" x14ac:dyDescent="0.25">
      <c r="B112" s="3" t="s">
        <v>69</v>
      </c>
      <c r="C112" t="str" cm="1">
        <f t="array" ref="C112:E112">_xlfn.TEXTSPLIT(B112, """")</f>
        <v xml:space="preserve">bug = </v>
      </c>
      <c r="D112" t="str">
        <v>Bug</v>
      </c>
      <c r="E112" t="str">
        <v/>
      </c>
      <c r="F112" t="e" cm="1" vm="60">
        <f t="array" ref="F112">IF(D112="","",_xldudf_A_ENTICON(D112))</f>
        <v>#VALUE!</v>
      </c>
      <c r="H112" t="s">
        <v>564</v>
      </c>
    </row>
    <row r="113" spans="2:8" x14ac:dyDescent="0.25">
      <c r="B113" s="3"/>
      <c r="C113" t="e" cm="1">
        <f t="array" ref="C113">_xlfn.TEXTSPLIT(B113, """")</f>
        <v>#VALUE!</v>
      </c>
      <c r="F113" t="str" cm="1">
        <f t="array" ref="F113">IF(D113="","",_xldudf_A_ENTICON(D113))</f>
        <v/>
      </c>
      <c r="H113" t="s">
        <v>564</v>
      </c>
    </row>
    <row r="114" spans="2:8" x14ac:dyDescent="0.25">
      <c r="B114" s="3" t="s">
        <v>70</v>
      </c>
      <c r="C114" t="str" cm="1">
        <f t="array" ref="C114:E114">_xlfn.TEXTSPLIT(B114, """")</f>
        <v xml:space="preserve">building = </v>
      </c>
      <c r="D114" t="str">
        <v>Building</v>
      </c>
      <c r="E114" t="str">
        <v/>
      </c>
      <c r="F114" t="e" cm="1" vm="61">
        <f t="array" ref="F114">IF(D114="","",_xldudf_A_ENTICON(D114))</f>
        <v>#VALUE!</v>
      </c>
      <c r="H114" t="s">
        <v>564</v>
      </c>
    </row>
    <row r="115" spans="2:8" x14ac:dyDescent="0.25">
      <c r="B115" s="3"/>
      <c r="C115" t="e" cm="1">
        <f t="array" ref="C115">_xlfn.TEXTSPLIT(B115, """")</f>
        <v>#VALUE!</v>
      </c>
      <c r="F115" t="str" cm="1">
        <f t="array" ref="F115">IF(D115="","",_xldudf_A_ENTICON(D115))</f>
        <v/>
      </c>
      <c r="H115" t="s">
        <v>564</v>
      </c>
    </row>
    <row r="116" spans="2:8" x14ac:dyDescent="0.25">
      <c r="B116" s="3" t="s">
        <v>71</v>
      </c>
      <c r="C116" t="str" cm="1">
        <f t="array" ref="C116:E116">_xlfn.TEXTSPLIT(B116, """")</f>
        <v xml:space="preserve">buildingBank = </v>
      </c>
      <c r="D116" t="str">
        <v>BuildingBank</v>
      </c>
      <c r="E116" t="str">
        <v/>
      </c>
      <c r="F116" t="e" cm="1" vm="62">
        <f t="array" ref="F116">IF(D116="","",_xldudf_A_ENTICON(D116))</f>
        <v>#VALUE!</v>
      </c>
      <c r="H116" t="s">
        <v>564</v>
      </c>
    </row>
    <row r="117" spans="2:8" x14ac:dyDescent="0.25">
      <c r="B117" s="3"/>
      <c r="C117" t="e" cm="1">
        <f t="array" ref="C117">_xlfn.TEXTSPLIT(B117, """")</f>
        <v>#VALUE!</v>
      </c>
      <c r="F117" t="str" cm="1">
        <f t="array" ref="F117">IF(D117="","",_xldudf_A_ENTICON(D117))</f>
        <v/>
      </c>
      <c r="H117" t="s">
        <v>564</v>
      </c>
    </row>
    <row r="118" spans="2:8" x14ac:dyDescent="0.25">
      <c r="B118" s="3" t="s">
        <v>72</v>
      </c>
      <c r="C118" t="str" cm="1">
        <f t="array" ref="C118:E118">_xlfn.TEXTSPLIT(B118, """")</f>
        <v xml:space="preserve">buildingFactory = </v>
      </c>
      <c r="D118" t="str">
        <v>BuildingFactory</v>
      </c>
      <c r="E118" t="str">
        <v/>
      </c>
      <c r="F118" t="e" cm="1" vm="63">
        <f t="array" ref="F118">IF(D118="","",_xldudf_A_ENTICON(D118))</f>
        <v>#VALUE!</v>
      </c>
      <c r="H118" t="s">
        <v>564</v>
      </c>
    </row>
    <row r="119" spans="2:8" x14ac:dyDescent="0.25">
      <c r="B119" s="3"/>
      <c r="C119" t="e" cm="1">
        <f t="array" ref="C119">_xlfn.TEXTSPLIT(B119, """")</f>
        <v>#VALUE!</v>
      </c>
      <c r="F119" t="str" cm="1">
        <f t="array" ref="F119">IF(D119="","",_xldudf_A_ENTICON(D119))</f>
        <v/>
      </c>
      <c r="H119" t="s">
        <v>564</v>
      </c>
    </row>
    <row r="120" spans="2:8" x14ac:dyDescent="0.25">
      <c r="B120" s="3" t="s">
        <v>73</v>
      </c>
      <c r="C120" t="str" cm="1">
        <f t="array" ref="C120:E120">_xlfn.TEXTSPLIT(B120, """")</f>
        <v xml:space="preserve">buildingGovernment = </v>
      </c>
      <c r="D120" t="str">
        <v>BuildingGovernment</v>
      </c>
      <c r="E120" t="str">
        <v/>
      </c>
      <c r="F120" t="e" cm="1" vm="64">
        <f t="array" ref="F120">IF(D120="","",_xldudf_A_ENTICON(D120))</f>
        <v>#VALUE!</v>
      </c>
      <c r="H120" t="s">
        <v>564</v>
      </c>
    </row>
    <row r="121" spans="2:8" x14ac:dyDescent="0.25">
      <c r="B121" s="3"/>
      <c r="C121" t="e" cm="1">
        <f t="array" ref="C121">_xlfn.TEXTSPLIT(B121, """")</f>
        <v>#VALUE!</v>
      </c>
      <c r="F121" t="str" cm="1">
        <f t="array" ref="F121">IF(D121="","",_xldudf_A_ENTICON(D121))</f>
        <v/>
      </c>
      <c r="H121" t="s">
        <v>564</v>
      </c>
    </row>
    <row r="122" spans="2:8" x14ac:dyDescent="0.25">
      <c r="B122" s="3" t="s">
        <v>74</v>
      </c>
      <c r="C122" t="str" cm="1">
        <f t="array" ref="C122:E122">_xlfn.TEXTSPLIT(B122, """")</f>
        <v xml:space="preserve">buildingHome = </v>
      </c>
      <c r="D122" t="str">
        <v>BuildingHome</v>
      </c>
      <c r="E122" t="str">
        <v/>
      </c>
      <c r="F122" t="e" cm="1" vm="65">
        <f t="array" ref="F122">IF(D122="","",_xldudf_A_ENTICON(D122))</f>
        <v>#VALUE!</v>
      </c>
      <c r="H122" t="s">
        <v>564</v>
      </c>
    </row>
    <row r="123" spans="2:8" x14ac:dyDescent="0.25">
      <c r="B123" s="3"/>
      <c r="C123" t="e" cm="1">
        <f t="array" ref="C123">_xlfn.TEXTSPLIT(B123, """")</f>
        <v>#VALUE!</v>
      </c>
      <c r="F123" t="str" cm="1">
        <f t="array" ref="F123">IF(D123="","",_xldudf_A_ENTICON(D123))</f>
        <v/>
      </c>
      <c r="H123" t="s">
        <v>564</v>
      </c>
    </row>
    <row r="124" spans="2:8" x14ac:dyDescent="0.25">
      <c r="B124" s="3" t="s">
        <v>75</v>
      </c>
      <c r="C124" t="str" cm="1">
        <f t="array" ref="C124:E124">_xlfn.TEXTSPLIT(B124, """")</f>
        <v xml:space="preserve">buildingLighthouse = </v>
      </c>
      <c r="D124" t="str">
        <v>BuildingLighthouse</v>
      </c>
      <c r="E124" t="str">
        <v/>
      </c>
      <c r="F124" t="e" cm="1" vm="66">
        <f t="array" ref="F124">IF(D124="","",_xldudf_A_ENTICON(D124))</f>
        <v>#VALUE!</v>
      </c>
      <c r="H124" t="s">
        <v>564</v>
      </c>
    </row>
    <row r="125" spans="2:8" x14ac:dyDescent="0.25">
      <c r="B125" s="3"/>
      <c r="C125" t="e" cm="1">
        <f t="array" ref="C125">_xlfn.TEXTSPLIT(B125, """")</f>
        <v>#VALUE!</v>
      </c>
      <c r="F125" t="str" cm="1">
        <f t="array" ref="F125">IF(D125="","",_xldudf_A_ENTICON(D125))</f>
        <v/>
      </c>
      <c r="H125" t="s">
        <v>564</v>
      </c>
    </row>
    <row r="126" spans="2:8" x14ac:dyDescent="0.25">
      <c r="B126" s="3" t="s">
        <v>76</v>
      </c>
      <c r="C126" t="str" cm="1">
        <f t="array" ref="C126:E126">_xlfn.TEXTSPLIT(B126, """")</f>
        <v xml:space="preserve">buildingMultiple = </v>
      </c>
      <c r="D126" t="str">
        <v>BuildingMultiple</v>
      </c>
      <c r="E126" t="str">
        <v/>
      </c>
      <c r="F126" t="e" cm="1" vm="67">
        <f t="array" ref="F126">IF(D126="","",_xldudf_A_ENTICON(D126))</f>
        <v>#VALUE!</v>
      </c>
      <c r="H126" t="s">
        <v>564</v>
      </c>
    </row>
    <row r="127" spans="2:8" x14ac:dyDescent="0.25">
      <c r="B127" s="3"/>
      <c r="C127" t="e" cm="1">
        <f t="array" ref="C127">_xlfn.TEXTSPLIT(B127, """")</f>
        <v>#VALUE!</v>
      </c>
      <c r="F127" t="str" cm="1">
        <f t="array" ref="F127">IF(D127="","",_xldudf_A_ENTICON(D127))</f>
        <v/>
      </c>
      <c r="H127" t="s">
        <v>564</v>
      </c>
    </row>
    <row r="128" spans="2:8" x14ac:dyDescent="0.25">
      <c r="B128" s="3" t="s">
        <v>77</v>
      </c>
      <c r="C128" t="str" cm="1">
        <f t="array" ref="C128:E128">_xlfn.TEXTSPLIT(B128, """")</f>
        <v xml:space="preserve">buildingRetail = </v>
      </c>
      <c r="D128" t="str">
        <v>BuildingRetail</v>
      </c>
      <c r="E128" t="str">
        <v/>
      </c>
      <c r="F128" t="e" cm="1" vm="68">
        <f t="array" ref="F128">IF(D128="","",_xldudf_A_ENTICON(D128))</f>
        <v>#VALUE!</v>
      </c>
      <c r="H128" t="s">
        <v>564</v>
      </c>
    </row>
    <row r="129" spans="2:8" x14ac:dyDescent="0.25">
      <c r="B129" s="3"/>
      <c r="C129" t="e" cm="1">
        <f t="array" ref="C129">_xlfn.TEXTSPLIT(B129, """")</f>
        <v>#VALUE!</v>
      </c>
      <c r="F129" t="str" cm="1">
        <f t="array" ref="F129">IF(D129="","",_xldudf_A_ENTICON(D129))</f>
        <v/>
      </c>
      <c r="H129" t="s">
        <v>564</v>
      </c>
    </row>
    <row r="130" spans="2:8" x14ac:dyDescent="0.25">
      <c r="B130" s="3" t="s">
        <v>78</v>
      </c>
      <c r="C130" t="str" cm="1">
        <f t="array" ref="C130:E130">_xlfn.TEXTSPLIT(B130, """")</f>
        <v xml:space="preserve">buildingRetailMore = </v>
      </c>
      <c r="D130" t="str">
        <v>BuildingRetailMore</v>
      </c>
      <c r="E130" t="str">
        <v/>
      </c>
      <c r="F130" t="e" cm="1" vm="69">
        <f t="array" ref="F130">IF(D130="","",_xldudf_A_ENTICON(D130))</f>
        <v>#VALUE!</v>
      </c>
      <c r="H130" t="s">
        <v>564</v>
      </c>
    </row>
    <row r="131" spans="2:8" x14ac:dyDescent="0.25">
      <c r="B131" s="3"/>
      <c r="C131" t="e" cm="1">
        <f t="array" ref="C131">_xlfn.TEXTSPLIT(B131, """")</f>
        <v>#VALUE!</v>
      </c>
      <c r="F131" t="str" cm="1">
        <f t="array" ref="F131">IF(D131="","",_xldudf_A_ENTICON(D131))</f>
        <v/>
      </c>
      <c r="H131" t="s">
        <v>564</v>
      </c>
    </row>
    <row r="132" spans="2:8" x14ac:dyDescent="0.25">
      <c r="B132" s="3" t="s">
        <v>79</v>
      </c>
      <c r="C132" t="str" cm="1">
        <f t="array" ref="C132:E132">_xlfn.TEXTSPLIT(B132, """")</f>
        <v xml:space="preserve">buildingRetailToolbox = </v>
      </c>
      <c r="D132" t="str">
        <v>BuildingRetailToolbox</v>
      </c>
      <c r="E132" t="str">
        <v/>
      </c>
      <c r="F132" t="e" cm="1" vm="70">
        <f t="array" ref="F132">IF(D132="","",_xldudf_A_ENTICON(D132))</f>
        <v>#VALUE!</v>
      </c>
      <c r="H132" t="s">
        <v>564</v>
      </c>
    </row>
    <row r="133" spans="2:8" x14ac:dyDescent="0.25">
      <c r="B133" s="3"/>
      <c r="C133" t="e" cm="1">
        <f t="array" ref="C133">_xlfn.TEXTSPLIT(B133, """")</f>
        <v>#VALUE!</v>
      </c>
      <c r="F133" t="str" cm="1">
        <f t="array" ref="F133">IF(D133="","",_xldudf_A_ENTICON(D133))</f>
        <v/>
      </c>
      <c r="H133" t="s">
        <v>564</v>
      </c>
    </row>
    <row r="134" spans="2:8" x14ac:dyDescent="0.25">
      <c r="B134" s="3" t="s">
        <v>80</v>
      </c>
      <c r="C134" t="str" cm="1">
        <f t="array" ref="C134:E134">_xlfn.TEXTSPLIT(B134, """")</f>
        <v xml:space="preserve">buildingShop = </v>
      </c>
      <c r="D134" t="str">
        <v>BuildingShop</v>
      </c>
      <c r="E134" t="str">
        <v/>
      </c>
      <c r="F134" t="e" cm="1" vm="71">
        <f t="array" ref="F134">IF(D134="","",_xldudf_A_ENTICON(D134))</f>
        <v>#VALUE!</v>
      </c>
      <c r="H134" t="s">
        <v>564</v>
      </c>
    </row>
    <row r="135" spans="2:8" x14ac:dyDescent="0.25">
      <c r="B135" s="3"/>
      <c r="C135" t="e" cm="1">
        <f t="array" ref="C135">_xlfn.TEXTSPLIT(B135, """")</f>
        <v>#VALUE!</v>
      </c>
      <c r="F135" t="str" cm="1">
        <f t="array" ref="F135">IF(D135="","",_xldudf_A_ENTICON(D135))</f>
        <v/>
      </c>
      <c r="H135" t="s">
        <v>564</v>
      </c>
    </row>
    <row r="136" spans="2:8" x14ac:dyDescent="0.25">
      <c r="B136" s="3" t="s">
        <v>81</v>
      </c>
      <c r="C136" t="str" cm="1">
        <f t="array" ref="C136:E136">_xlfn.TEXTSPLIT(B136, """")</f>
        <v xml:space="preserve">buildingSkyscraper = </v>
      </c>
      <c r="D136" t="str">
        <v>BuildingSkyscraper</v>
      </c>
      <c r="E136" t="str">
        <v/>
      </c>
      <c r="F136" t="e" cm="1" vm="72">
        <f t="array" ref="F136">IF(D136="","",_xldudf_A_ENTICON(D136))</f>
        <v>#VALUE!</v>
      </c>
      <c r="H136" t="s">
        <v>564</v>
      </c>
    </row>
    <row r="137" spans="2:8" x14ac:dyDescent="0.25">
      <c r="B137" s="3"/>
      <c r="C137" t="e" cm="1">
        <f t="array" ref="C137">_xlfn.TEXTSPLIT(B137, """")</f>
        <v>#VALUE!</v>
      </c>
      <c r="F137" t="str" cm="1">
        <f t="array" ref="F137">IF(D137="","",_xldudf_A_ENTICON(D137))</f>
        <v/>
      </c>
      <c r="H137" t="s">
        <v>564</v>
      </c>
    </row>
    <row r="138" spans="2:8" x14ac:dyDescent="0.25">
      <c r="B138" s="3" t="s">
        <v>82</v>
      </c>
      <c r="C138" t="str" cm="1">
        <f t="array" ref="C138:E138">_xlfn.TEXTSPLIT(B138, """")</f>
        <v xml:space="preserve">calculator = </v>
      </c>
      <c r="D138" t="str">
        <v>Calculator</v>
      </c>
      <c r="E138" t="str">
        <v/>
      </c>
      <c r="F138" t="e" cm="1" vm="73">
        <f t="array" ref="F138">IF(D138="","",_xldudf_A_ENTICON(D138))</f>
        <v>#VALUE!</v>
      </c>
      <c r="H138" t="s">
        <v>564</v>
      </c>
    </row>
    <row r="139" spans="2:8" x14ac:dyDescent="0.25">
      <c r="B139" s="3"/>
      <c r="C139" t="e" cm="1">
        <f t="array" ref="C139">_xlfn.TEXTSPLIT(B139, """")</f>
        <v>#VALUE!</v>
      </c>
      <c r="F139" t="str" cm="1">
        <f t="array" ref="F139">IF(D139="","",_xldudf_A_ENTICON(D139))</f>
        <v/>
      </c>
      <c r="H139" t="s">
        <v>564</v>
      </c>
    </row>
    <row r="140" spans="2:8" x14ac:dyDescent="0.25">
      <c r="B140" s="3" t="s">
        <v>83</v>
      </c>
      <c r="C140" t="str" cm="1">
        <f t="array" ref="C140:E140">_xlfn.TEXTSPLIT(B140, """")</f>
        <v xml:space="preserve">calendarLtr = </v>
      </c>
      <c r="D140" t="str">
        <v>CalendarLtr</v>
      </c>
      <c r="E140" t="str">
        <v/>
      </c>
      <c r="F140" t="e" cm="1" vm="74">
        <f t="array" ref="F140">IF(D140="","",_xldudf_A_ENTICON(D140))</f>
        <v>#VALUE!</v>
      </c>
      <c r="H140" t="s">
        <v>564</v>
      </c>
    </row>
    <row r="141" spans="2:8" x14ac:dyDescent="0.25">
      <c r="B141" s="3"/>
      <c r="C141" t="e" cm="1">
        <f t="array" ref="C141">_xlfn.TEXTSPLIT(B141, """")</f>
        <v>#VALUE!</v>
      </c>
      <c r="F141" t="str" cm="1">
        <f t="array" ref="F141">IF(D141="","",_xldudf_A_ENTICON(D141))</f>
        <v/>
      </c>
      <c r="H141" t="s">
        <v>564</v>
      </c>
    </row>
    <row r="142" spans="2:8" x14ac:dyDescent="0.25">
      <c r="B142" s="3" t="s">
        <v>84</v>
      </c>
      <c r="C142" t="str" cm="1">
        <f t="array" ref="C142:E142">_xlfn.TEXTSPLIT(B142, """")</f>
        <v xml:space="preserve">calendarRtl = </v>
      </c>
      <c r="D142" t="str">
        <v>CalendarRtl</v>
      </c>
      <c r="E142" t="str">
        <v/>
      </c>
      <c r="F142" t="e" cm="1" vm="75">
        <f t="array" ref="F142">IF(D142="","",_xldudf_A_ENTICON(D142))</f>
        <v>#VALUE!</v>
      </c>
      <c r="H142" t="s">
        <v>564</v>
      </c>
    </row>
    <row r="143" spans="2:8" x14ac:dyDescent="0.25">
      <c r="B143" s="3"/>
      <c r="C143" t="e" cm="1">
        <f t="array" ref="C143">_xlfn.TEXTSPLIT(B143, """")</f>
        <v>#VALUE!</v>
      </c>
      <c r="F143" t="str" cm="1">
        <f t="array" ref="F143">IF(D143="","",_xldudf_A_ENTICON(D143))</f>
        <v/>
      </c>
      <c r="H143" t="s">
        <v>564</v>
      </c>
    </row>
    <row r="144" spans="2:8" x14ac:dyDescent="0.25">
      <c r="B144" s="3" t="s">
        <v>85</v>
      </c>
      <c r="C144" t="str" cm="1">
        <f t="array" ref="C144:E144">_xlfn.TEXTSPLIT(B144, """")</f>
        <v xml:space="preserve">call = </v>
      </c>
      <c r="D144" t="str">
        <v>Call</v>
      </c>
      <c r="E144" t="str">
        <v/>
      </c>
      <c r="F144" t="e" cm="1" vm="76">
        <f t="array" ref="F144">IF(D144="","",_xldudf_A_ENTICON(D144))</f>
        <v>#VALUE!</v>
      </c>
      <c r="H144" t="s">
        <v>564</v>
      </c>
    </row>
    <row r="145" spans="2:8" x14ac:dyDescent="0.25">
      <c r="B145" s="3"/>
      <c r="C145" t="e" cm="1">
        <f t="array" ref="C145">_xlfn.TEXTSPLIT(B145, """")</f>
        <v>#VALUE!</v>
      </c>
      <c r="F145" t="str" cm="1">
        <f t="array" ref="F145">IF(D145="","",_xldudf_A_ENTICON(D145))</f>
        <v/>
      </c>
      <c r="H145" t="s">
        <v>564</v>
      </c>
    </row>
    <row r="146" spans="2:8" x14ac:dyDescent="0.25">
      <c r="B146" s="3" t="s">
        <v>86</v>
      </c>
      <c r="C146" t="str" cm="1">
        <f t="array" ref="C146:E146">_xlfn.TEXTSPLIT(B146, """")</f>
        <v xml:space="preserve">calligraphyPen = </v>
      </c>
      <c r="D146" t="str">
        <v>CalligraphyPen</v>
      </c>
      <c r="E146" t="str">
        <v/>
      </c>
      <c r="F146" t="e" cm="1" vm="77">
        <f t="array" ref="F146">IF(D146="","",_xldudf_A_ENTICON(D146))</f>
        <v>#VALUE!</v>
      </c>
      <c r="H146" t="s">
        <v>564</v>
      </c>
    </row>
    <row r="147" spans="2:8" x14ac:dyDescent="0.25">
      <c r="B147" s="3"/>
      <c r="C147" t="e" cm="1">
        <f t="array" ref="C147">_xlfn.TEXTSPLIT(B147, """")</f>
        <v>#VALUE!</v>
      </c>
      <c r="F147" t="str" cm="1">
        <f t="array" ref="F147">IF(D147="","",_xldudf_A_ENTICON(D147))</f>
        <v/>
      </c>
      <c r="H147" t="s">
        <v>564</v>
      </c>
    </row>
    <row r="148" spans="2:8" x14ac:dyDescent="0.25">
      <c r="B148" s="3" t="s">
        <v>87</v>
      </c>
      <c r="C148" t="str" cm="1">
        <f t="array" ref="C148:E148">_xlfn.TEXTSPLIT(B148, """")</f>
        <v xml:space="preserve">camera = </v>
      </c>
      <c r="D148" t="str">
        <v>Camera</v>
      </c>
      <c r="E148" t="str">
        <v/>
      </c>
      <c r="F148" t="e" cm="1" vm="78">
        <f t="array" ref="F148">IF(D148="","",_xldudf_A_ENTICON(D148))</f>
        <v>#VALUE!</v>
      </c>
      <c r="H148" t="s">
        <v>564</v>
      </c>
    </row>
    <row r="149" spans="2:8" x14ac:dyDescent="0.25">
      <c r="B149" s="3"/>
      <c r="C149" t="e" cm="1">
        <f t="array" ref="C149">_xlfn.TEXTSPLIT(B149, """")</f>
        <v>#VALUE!</v>
      </c>
      <c r="F149" t="str" cm="1">
        <f t="array" ref="F149">IF(D149="","",_xldudf_A_ENTICON(D149))</f>
        <v/>
      </c>
      <c r="H149" t="s">
        <v>564</v>
      </c>
    </row>
    <row r="150" spans="2:8" x14ac:dyDescent="0.25">
      <c r="B150" s="3" t="s">
        <v>88</v>
      </c>
      <c r="C150" t="str" cm="1">
        <f t="array" ref="C150:E150">_xlfn.TEXTSPLIT(B150, """")</f>
        <v xml:space="preserve">cameraDome = </v>
      </c>
      <c r="D150" t="str">
        <v>CameraDome</v>
      </c>
      <c r="E150" t="str">
        <v/>
      </c>
      <c r="F150" t="e" cm="1" vm="79">
        <f t="array" ref="F150">IF(D150="","",_xldudf_A_ENTICON(D150))</f>
        <v>#VALUE!</v>
      </c>
      <c r="H150" t="s">
        <v>564</v>
      </c>
    </row>
    <row r="151" spans="2:8" x14ac:dyDescent="0.25">
      <c r="B151" s="3"/>
      <c r="C151" t="e" cm="1">
        <f t="array" ref="C151">_xlfn.TEXTSPLIT(B151, """")</f>
        <v>#VALUE!</v>
      </c>
      <c r="F151" t="str" cm="1">
        <f t="array" ref="F151">IF(D151="","",_xldudf_A_ENTICON(D151))</f>
        <v/>
      </c>
      <c r="H151" t="s">
        <v>564</v>
      </c>
    </row>
    <row r="152" spans="2:8" x14ac:dyDescent="0.25">
      <c r="B152" s="3" t="s">
        <v>89</v>
      </c>
      <c r="C152" t="str" cm="1">
        <f t="array" ref="C152:E152">_xlfn.TEXTSPLIT(B152, """")</f>
        <v xml:space="preserve">car = </v>
      </c>
      <c r="D152" t="str">
        <v>Car</v>
      </c>
      <c r="E152" t="str">
        <v/>
      </c>
      <c r="F152" t="e" cm="1" vm="80">
        <f t="array" ref="F152">IF(D152="","",_xldudf_A_ENTICON(D152))</f>
        <v>#VALUE!</v>
      </c>
      <c r="H152" t="s">
        <v>564</v>
      </c>
    </row>
    <row r="153" spans="2:8" x14ac:dyDescent="0.25">
      <c r="B153" s="3"/>
      <c r="C153" t="e" cm="1">
        <f t="array" ref="C153">_xlfn.TEXTSPLIT(B153, """")</f>
        <v>#VALUE!</v>
      </c>
      <c r="F153" t="str" cm="1">
        <f t="array" ref="F153">IF(D153="","",_xldudf_A_ENTICON(D153))</f>
        <v/>
      </c>
      <c r="H153" t="s">
        <v>564</v>
      </c>
    </row>
    <row r="154" spans="2:8" x14ac:dyDescent="0.25">
      <c r="B154" s="3" t="s">
        <v>90</v>
      </c>
      <c r="C154" t="str" cm="1">
        <f t="array" ref="C154:E154">_xlfn.TEXTSPLIT(B154, """")</f>
        <v xml:space="preserve">cart = </v>
      </c>
      <c r="D154" t="str">
        <v>Cart</v>
      </c>
      <c r="E154" t="str">
        <v/>
      </c>
      <c r="F154" t="e" cm="1" vm="81">
        <f t="array" ref="F154">IF(D154="","",_xldudf_A_ENTICON(D154))</f>
        <v>#VALUE!</v>
      </c>
      <c r="H154" t="s">
        <v>564</v>
      </c>
    </row>
    <row r="155" spans="2:8" x14ac:dyDescent="0.25">
      <c r="B155" s="3"/>
      <c r="C155" t="e" cm="1">
        <f t="array" ref="C155">_xlfn.TEXTSPLIT(B155, """")</f>
        <v>#VALUE!</v>
      </c>
      <c r="F155" t="str" cm="1">
        <f t="array" ref="F155">IF(D155="","",_xldudf_A_ENTICON(D155))</f>
        <v/>
      </c>
      <c r="H155" t="s">
        <v>564</v>
      </c>
    </row>
    <row r="156" spans="2:8" x14ac:dyDescent="0.25">
      <c r="B156" s="3" t="s">
        <v>91</v>
      </c>
      <c r="C156" t="str" cm="1">
        <f t="array" ref="C156:E156">_xlfn.TEXTSPLIT(B156, """")</f>
        <v xml:space="preserve">cat = </v>
      </c>
      <c r="D156" t="str">
        <v>Cat</v>
      </c>
      <c r="E156" t="str">
        <v/>
      </c>
      <c r="F156" t="e" cm="1" vm="82">
        <f t="array" ref="F156">IF(D156="","",_xldudf_A_ENTICON(D156))</f>
        <v>#VALUE!</v>
      </c>
      <c r="H156" t="s">
        <v>564</v>
      </c>
    </row>
    <row r="157" spans="2:8" x14ac:dyDescent="0.25">
      <c r="B157" s="3"/>
      <c r="C157" t="e" cm="1">
        <f t="array" ref="C157">_xlfn.TEXTSPLIT(B157, """")</f>
        <v>#VALUE!</v>
      </c>
      <c r="F157" t="str" cm="1">
        <f t="array" ref="F157">IF(D157="","",_xldudf_A_ENTICON(D157))</f>
        <v/>
      </c>
      <c r="H157" t="s">
        <v>564</v>
      </c>
    </row>
    <row r="158" spans="2:8" x14ac:dyDescent="0.25">
      <c r="B158" s="3" t="s">
        <v>92</v>
      </c>
      <c r="C158" t="str" cm="1">
        <f t="array" ref="C158:E158">_xlfn.TEXTSPLIT(B158, """")</f>
        <v xml:space="preserve">certificate = </v>
      </c>
      <c r="D158" t="str">
        <v>Certificate</v>
      </c>
      <c r="E158" t="str">
        <v/>
      </c>
      <c r="F158" t="e" cm="1" vm="83">
        <f t="array" ref="F158">IF(D158="","",_xldudf_A_ENTICON(D158))</f>
        <v>#VALUE!</v>
      </c>
      <c r="H158" t="s">
        <v>564</v>
      </c>
    </row>
    <row r="159" spans="2:8" x14ac:dyDescent="0.25">
      <c r="B159" s="3"/>
      <c r="C159" t="e" cm="1">
        <f t="array" ref="C159">_xlfn.TEXTSPLIT(B159, """")</f>
        <v>#VALUE!</v>
      </c>
      <c r="F159" t="str" cm="1">
        <f t="array" ref="F159">IF(D159="","",_xldudf_A_ENTICON(D159))</f>
        <v/>
      </c>
      <c r="H159" t="s">
        <v>564</v>
      </c>
    </row>
    <row r="160" spans="2:8" x14ac:dyDescent="0.25">
      <c r="B160" s="3" t="s">
        <v>93</v>
      </c>
      <c r="C160" t="str" cm="1">
        <f t="array" ref="C160:E160">_xlfn.TEXTSPLIT(B160, """")</f>
        <v xml:space="preserve">chartMultiple = </v>
      </c>
      <c r="D160" t="str">
        <v>ChartMultiple</v>
      </c>
      <c r="E160" t="str">
        <v/>
      </c>
      <c r="F160" t="e" cm="1" vm="84">
        <f t="array" ref="F160">IF(D160="","",_xldudf_A_ENTICON(D160))</f>
        <v>#VALUE!</v>
      </c>
      <c r="H160" t="s">
        <v>564</v>
      </c>
    </row>
    <row r="161" spans="2:8" x14ac:dyDescent="0.25">
      <c r="B161" s="3"/>
      <c r="C161" t="e" cm="1">
        <f t="array" ref="C161">_xlfn.TEXTSPLIT(B161, """")</f>
        <v>#VALUE!</v>
      </c>
      <c r="F161" t="str" cm="1">
        <f t="array" ref="F161">IF(D161="","",_xldudf_A_ENTICON(D161))</f>
        <v/>
      </c>
      <c r="H161" t="s">
        <v>564</v>
      </c>
    </row>
    <row r="162" spans="2:8" x14ac:dyDescent="0.25">
      <c r="B162" s="3" t="s">
        <v>94</v>
      </c>
      <c r="C162" t="str" cm="1">
        <f t="array" ref="C162:E162">_xlfn.TEXTSPLIT(B162, """")</f>
        <v xml:space="preserve">chat = </v>
      </c>
      <c r="D162" t="str">
        <v>Chat</v>
      </c>
      <c r="E162" t="str">
        <v/>
      </c>
      <c r="F162" t="e" cm="1" vm="85">
        <f t="array" ref="F162">IF(D162="","",_xldudf_A_ENTICON(D162))</f>
        <v>#VALUE!</v>
      </c>
      <c r="H162" t="s">
        <v>564</v>
      </c>
    </row>
    <row r="163" spans="2:8" x14ac:dyDescent="0.25">
      <c r="B163" s="3"/>
      <c r="C163" t="e" cm="1">
        <f t="array" ref="C163">_xlfn.TEXTSPLIT(B163, """")</f>
        <v>#VALUE!</v>
      </c>
      <c r="F163" t="str" cm="1">
        <f t="array" ref="F163">IF(D163="","",_xldudf_A_ENTICON(D163))</f>
        <v/>
      </c>
      <c r="H163" t="s">
        <v>564</v>
      </c>
    </row>
    <row r="164" spans="2:8" x14ac:dyDescent="0.25">
      <c r="B164" s="3" t="s">
        <v>95</v>
      </c>
      <c r="C164" t="str" cm="1">
        <f t="array" ref="C164:E164">_xlfn.TEXTSPLIT(B164, """")</f>
        <v xml:space="preserve">chatMultiple = </v>
      </c>
      <c r="D164" t="str">
        <v>ChatMultiple</v>
      </c>
      <c r="E164" t="str">
        <v/>
      </c>
      <c r="F164" t="e" cm="1" vm="86">
        <f t="array" ref="F164">IF(D164="","",_xldudf_A_ENTICON(D164))</f>
        <v>#VALUE!</v>
      </c>
      <c r="H164" t="s">
        <v>564</v>
      </c>
    </row>
    <row r="165" spans="2:8" x14ac:dyDescent="0.25">
      <c r="B165" s="3"/>
      <c r="C165" t="e" cm="1">
        <f t="array" ref="C165">_xlfn.TEXTSPLIT(B165, """")</f>
        <v>#VALUE!</v>
      </c>
      <c r="F165" t="str" cm="1">
        <f t="array" ref="F165">IF(D165="","",_xldudf_A_ENTICON(D165))</f>
        <v/>
      </c>
      <c r="H165" t="s">
        <v>564</v>
      </c>
    </row>
    <row r="166" spans="2:8" x14ac:dyDescent="0.25">
      <c r="B166" s="3" t="s">
        <v>96</v>
      </c>
      <c r="C166" t="str" cm="1">
        <f t="array" ref="C166:E166">_xlfn.TEXTSPLIT(B166, """")</f>
        <v xml:space="preserve">chatVideo = </v>
      </c>
      <c r="D166" t="str">
        <v>ChatVideo</v>
      </c>
      <c r="E166" t="str">
        <v/>
      </c>
      <c r="F166" t="e" cm="1" vm="87">
        <f t="array" ref="F166">IF(D166="","",_xldudf_A_ENTICON(D166))</f>
        <v>#VALUE!</v>
      </c>
      <c r="H166" t="s">
        <v>564</v>
      </c>
    </row>
    <row r="167" spans="2:8" x14ac:dyDescent="0.25">
      <c r="B167" s="3"/>
      <c r="C167" t="e" cm="1">
        <f t="array" ref="C167">_xlfn.TEXTSPLIT(B167, """")</f>
        <v>#VALUE!</v>
      </c>
      <c r="F167" t="str" cm="1">
        <f t="array" ref="F167">IF(D167="","",_xldudf_A_ENTICON(D167))</f>
        <v/>
      </c>
      <c r="H167" t="s">
        <v>564</v>
      </c>
    </row>
    <row r="168" spans="2:8" x14ac:dyDescent="0.25">
      <c r="B168" s="3" t="s">
        <v>97</v>
      </c>
      <c r="C168" t="str" cm="1">
        <f t="array" ref="C168:E168">_xlfn.TEXTSPLIT(B168, """")</f>
        <v xml:space="preserve">check = </v>
      </c>
      <c r="D168" t="str">
        <v>Check</v>
      </c>
      <c r="E168" t="str">
        <v/>
      </c>
      <c r="F168" t="e" cm="1" vm="88">
        <f t="array" ref="F168">IF(D168="","",_xldudf_A_ENTICON(D168))</f>
        <v>#VALUE!</v>
      </c>
      <c r="H168" t="s">
        <v>564</v>
      </c>
    </row>
    <row r="169" spans="2:8" x14ac:dyDescent="0.25">
      <c r="B169" s="3"/>
      <c r="C169" t="e" cm="1">
        <f t="array" ref="C169">_xlfn.TEXTSPLIT(B169, """")</f>
        <v>#VALUE!</v>
      </c>
      <c r="F169" t="str" cm="1">
        <f t="array" ref="F169">IF(D169="","",_xldudf_A_ENTICON(D169))</f>
        <v/>
      </c>
      <c r="H169" t="s">
        <v>564</v>
      </c>
    </row>
    <row r="170" spans="2:8" x14ac:dyDescent="0.25">
      <c r="B170" s="3" t="s">
        <v>98</v>
      </c>
      <c r="C170" t="str" cm="1">
        <f t="array" ref="C170:E170">_xlfn.TEXTSPLIT(B170, """")</f>
        <v xml:space="preserve">checkboxChecked = </v>
      </c>
      <c r="D170" t="str">
        <v>CheckboxChecked</v>
      </c>
      <c r="E170" t="str">
        <v/>
      </c>
      <c r="F170" t="e" cm="1" vm="89">
        <f t="array" ref="F170">IF(D170="","",_xldudf_A_ENTICON(D170))</f>
        <v>#VALUE!</v>
      </c>
      <c r="H170" t="s">
        <v>564</v>
      </c>
    </row>
    <row r="171" spans="2:8" x14ac:dyDescent="0.25">
      <c r="B171" s="3"/>
      <c r="C171" t="e" cm="1">
        <f t="array" ref="C171">_xlfn.TEXTSPLIT(B171, """")</f>
        <v>#VALUE!</v>
      </c>
      <c r="F171" t="str" cm="1">
        <f t="array" ref="F171">IF(D171="","",_xldudf_A_ENTICON(D171))</f>
        <v/>
      </c>
      <c r="H171" t="s">
        <v>564</v>
      </c>
    </row>
    <row r="172" spans="2:8" x14ac:dyDescent="0.25">
      <c r="B172" s="3" t="s">
        <v>99</v>
      </c>
      <c r="C172" t="str" cm="1">
        <f t="array" ref="C172:E172">_xlfn.TEXTSPLIT(B172, """")</f>
        <v xml:space="preserve">checkboxUnchecked = </v>
      </c>
      <c r="D172" t="str">
        <v>CheckboxUnchecked</v>
      </c>
      <c r="E172" t="str">
        <v/>
      </c>
      <c r="F172" t="e" cm="1" vm="90">
        <f t="array" ref="F172">IF(D172="","",_xldudf_A_ENTICON(D172))</f>
        <v>#VALUE!</v>
      </c>
      <c r="H172" t="s">
        <v>564</v>
      </c>
    </row>
    <row r="173" spans="2:8" x14ac:dyDescent="0.25">
      <c r="B173" s="3"/>
      <c r="C173" t="e" cm="1">
        <f t="array" ref="C173">_xlfn.TEXTSPLIT(B173, """")</f>
        <v>#VALUE!</v>
      </c>
      <c r="F173" t="str" cm="1">
        <f t="array" ref="F173">IF(D173="","",_xldudf_A_ENTICON(D173))</f>
        <v/>
      </c>
      <c r="H173" t="s">
        <v>564</v>
      </c>
    </row>
    <row r="174" spans="2:8" x14ac:dyDescent="0.25">
      <c r="B174" s="3" t="s">
        <v>100</v>
      </c>
      <c r="C174" t="str" cm="1">
        <f t="array" ref="C174:E174">_xlfn.TEXTSPLIT(B174, """")</f>
        <v xml:space="preserve">checkmark = </v>
      </c>
      <c r="D174" t="str">
        <v>Checkmark</v>
      </c>
      <c r="E174" t="str">
        <v/>
      </c>
      <c r="F174" t="e" cm="1" vm="91">
        <f t="array" ref="F174">IF(D174="","",_xldudf_A_ENTICON(D174))</f>
        <v>#VALUE!</v>
      </c>
      <c r="H174" t="s">
        <v>564</v>
      </c>
    </row>
    <row r="175" spans="2:8" x14ac:dyDescent="0.25">
      <c r="B175" s="3"/>
      <c r="C175" t="e" cm="1">
        <f t="array" ref="C175">_xlfn.TEXTSPLIT(B175, """")</f>
        <v>#VALUE!</v>
      </c>
      <c r="F175" t="str" cm="1">
        <f t="array" ref="F175">IF(D175="","",_xldudf_A_ENTICON(D175))</f>
        <v/>
      </c>
      <c r="H175" t="s">
        <v>564</v>
      </c>
    </row>
    <row r="176" spans="2:8" x14ac:dyDescent="0.25">
      <c r="B176" s="3" t="s">
        <v>101</v>
      </c>
      <c r="C176" t="str" cm="1">
        <f t="array" ref="C176:E176">_xlfn.TEXTSPLIT(B176, """")</f>
        <v xml:space="preserve">chess = </v>
      </c>
      <c r="D176" t="str">
        <v>Chess</v>
      </c>
      <c r="E176" t="str">
        <v/>
      </c>
      <c r="F176" t="e" cm="1" vm="92">
        <f t="array" ref="F176">IF(D176="","",_xldudf_A_ENTICON(D176))</f>
        <v>#VALUE!</v>
      </c>
      <c r="H176" t="s">
        <v>564</v>
      </c>
    </row>
    <row r="177" spans="2:8" x14ac:dyDescent="0.25">
      <c r="B177" s="3"/>
      <c r="C177" t="e" cm="1">
        <f t="array" ref="C177">_xlfn.TEXTSPLIT(B177, """")</f>
        <v>#VALUE!</v>
      </c>
      <c r="F177" t="str" cm="1">
        <f t="array" ref="F177">IF(D177="","",_xldudf_A_ENTICON(D177))</f>
        <v/>
      </c>
      <c r="H177" t="s">
        <v>564</v>
      </c>
    </row>
    <row r="178" spans="2:8" x14ac:dyDescent="0.25">
      <c r="B178" s="3" t="s">
        <v>102</v>
      </c>
      <c r="C178" t="str" cm="1">
        <f t="array" ref="C178:E178">_xlfn.TEXTSPLIT(B178, """")</f>
        <v xml:space="preserve">city = </v>
      </c>
      <c r="D178" t="str">
        <v>City</v>
      </c>
      <c r="E178" t="str">
        <v/>
      </c>
      <c r="F178" t="e" cm="1" vm="93">
        <f t="array" ref="F178">IF(D178="","",_xldudf_A_ENTICON(D178))</f>
        <v>#VALUE!</v>
      </c>
      <c r="H178" t="s">
        <v>564</v>
      </c>
    </row>
    <row r="179" spans="2:8" x14ac:dyDescent="0.25">
      <c r="B179" s="3"/>
      <c r="C179" t="e" cm="1">
        <f t="array" ref="C179">_xlfn.TEXTSPLIT(B179, """")</f>
        <v>#VALUE!</v>
      </c>
      <c r="F179" t="str" cm="1">
        <f t="array" ref="F179">IF(D179="","",_xldudf_A_ENTICON(D179))</f>
        <v/>
      </c>
      <c r="H179" t="s">
        <v>564</v>
      </c>
    </row>
    <row r="180" spans="2:8" x14ac:dyDescent="0.25">
      <c r="B180" s="3" t="s">
        <v>103</v>
      </c>
      <c r="C180" t="str" cm="1">
        <f t="array" ref="C180:E180">_xlfn.TEXTSPLIT(B180, """")</f>
        <v xml:space="preserve">class = </v>
      </c>
      <c r="D180" t="str">
        <v>Class</v>
      </c>
      <c r="E180" t="str">
        <v/>
      </c>
      <c r="F180" t="e" cm="1" vm="94">
        <f t="array" ref="F180">IF(D180="","",_xldudf_A_ENTICON(D180))</f>
        <v>#VALUE!</v>
      </c>
      <c r="H180" t="s">
        <v>564</v>
      </c>
    </row>
    <row r="181" spans="2:8" x14ac:dyDescent="0.25">
      <c r="B181" s="3"/>
      <c r="C181" t="e" cm="1">
        <f t="array" ref="C181">_xlfn.TEXTSPLIT(B181, """")</f>
        <v>#VALUE!</v>
      </c>
      <c r="F181" t="str" cm="1">
        <f t="array" ref="F181">IF(D181="","",_xldudf_A_ENTICON(D181))</f>
        <v/>
      </c>
      <c r="H181" t="s">
        <v>564</v>
      </c>
    </row>
    <row r="182" spans="2:8" x14ac:dyDescent="0.25">
      <c r="B182" s="3" t="s">
        <v>104</v>
      </c>
      <c r="C182" t="str" cm="1">
        <f t="array" ref="C182:E182">_xlfn.TEXTSPLIT(B182, """")</f>
        <v xml:space="preserve">classification = </v>
      </c>
      <c r="D182" t="str">
        <v>Classification</v>
      </c>
      <c r="E182" t="str">
        <v/>
      </c>
      <c r="F182" t="e" cm="1" vm="95">
        <f t="array" ref="F182">IF(D182="","",_xldudf_A_ENTICON(D182))</f>
        <v>#VALUE!</v>
      </c>
      <c r="H182" t="s">
        <v>564</v>
      </c>
    </row>
    <row r="183" spans="2:8" x14ac:dyDescent="0.25">
      <c r="B183" s="3"/>
      <c r="C183" t="e" cm="1">
        <f t="array" ref="C183">_xlfn.TEXTSPLIT(B183, """")</f>
        <v>#VALUE!</v>
      </c>
      <c r="F183" t="str" cm="1">
        <f t="array" ref="F183">IF(D183="","",_xldudf_A_ENTICON(D183))</f>
        <v/>
      </c>
      <c r="H183" t="s">
        <v>564</v>
      </c>
    </row>
    <row r="184" spans="2:8" x14ac:dyDescent="0.25">
      <c r="B184" s="3" t="s">
        <v>105</v>
      </c>
      <c r="C184" t="str" cm="1">
        <f t="array" ref="C184:E184">_xlfn.TEXTSPLIT(B184, """")</f>
        <v xml:space="preserve">clipboard = </v>
      </c>
      <c r="D184" t="str">
        <v>Clipboard</v>
      </c>
      <c r="E184" t="str">
        <v/>
      </c>
      <c r="F184" t="e" cm="1" vm="96">
        <f t="array" ref="F184">IF(D184="","",_xldudf_A_ENTICON(D184))</f>
        <v>#VALUE!</v>
      </c>
      <c r="H184" t="s">
        <v>564</v>
      </c>
    </row>
    <row r="185" spans="2:8" x14ac:dyDescent="0.25">
      <c r="B185" s="3"/>
      <c r="C185" t="e" cm="1">
        <f t="array" ref="C185">_xlfn.TEXTSPLIT(B185, """")</f>
        <v>#VALUE!</v>
      </c>
      <c r="F185" t="str" cm="1">
        <f t="array" ref="F185">IF(D185="","",_xldudf_A_ENTICON(D185))</f>
        <v/>
      </c>
      <c r="H185" t="s">
        <v>564</v>
      </c>
    </row>
    <row r="186" spans="2:8" x14ac:dyDescent="0.25">
      <c r="B186" s="3" t="s">
        <v>106</v>
      </c>
      <c r="C186" t="str" cm="1">
        <f t="array" ref="C186:E186">_xlfn.TEXTSPLIT(B186, """")</f>
        <v xml:space="preserve">clipboardDataBar = </v>
      </c>
      <c r="D186" t="str">
        <v>ClipboardDataBar</v>
      </c>
      <c r="E186" t="str">
        <v/>
      </c>
      <c r="F186" t="e" cm="1" vm="97">
        <f t="array" ref="F186">IF(D186="","",_xldudf_A_ENTICON(D186))</f>
        <v>#VALUE!</v>
      </c>
      <c r="H186" t="s">
        <v>564</v>
      </c>
    </row>
    <row r="187" spans="2:8" x14ac:dyDescent="0.25">
      <c r="B187" s="3"/>
      <c r="C187" t="e" cm="1">
        <f t="array" ref="C187">_xlfn.TEXTSPLIT(B187, """")</f>
        <v>#VALUE!</v>
      </c>
      <c r="F187" t="str" cm="1">
        <f t="array" ref="F187">IF(D187="","",_xldudf_A_ENTICON(D187))</f>
        <v/>
      </c>
      <c r="H187" t="s">
        <v>564</v>
      </c>
    </row>
    <row r="188" spans="2:8" x14ac:dyDescent="0.25">
      <c r="B188" s="3" t="s">
        <v>107</v>
      </c>
      <c r="C188" t="str" cm="1">
        <f t="array" ref="C188:E188">_xlfn.TEXTSPLIT(B188, """")</f>
        <v xml:space="preserve">clipboardPulse = </v>
      </c>
      <c r="D188" t="str">
        <v>ClipboardPulse</v>
      </c>
      <c r="E188" t="str">
        <v/>
      </c>
      <c r="F188" t="e" cm="1" vm="98">
        <f t="array" ref="F188">IF(D188="","",_xldudf_A_ENTICON(D188))</f>
        <v>#VALUE!</v>
      </c>
      <c r="H188" t="s">
        <v>564</v>
      </c>
    </row>
    <row r="189" spans="2:8" x14ac:dyDescent="0.25">
      <c r="B189" s="3"/>
      <c r="C189" t="e" cm="1">
        <f t="array" ref="C189">_xlfn.TEXTSPLIT(B189, """")</f>
        <v>#VALUE!</v>
      </c>
      <c r="F189" t="str" cm="1">
        <f t="array" ref="F189">IF(D189="","",_xldudf_A_ENTICON(D189))</f>
        <v/>
      </c>
      <c r="H189" t="s">
        <v>564</v>
      </c>
    </row>
    <row r="190" spans="2:8" x14ac:dyDescent="0.25">
      <c r="B190" s="3" t="s">
        <v>108</v>
      </c>
      <c r="C190" t="str" cm="1">
        <f t="array" ref="C190:E190">_xlfn.TEXTSPLIT(B190, """")</f>
        <v xml:space="preserve">clipboardTask = </v>
      </c>
      <c r="D190" t="str">
        <v>ClipboardTask</v>
      </c>
      <c r="E190" t="str">
        <v/>
      </c>
      <c r="F190" t="e" cm="1" vm="99">
        <f t="array" ref="F190">IF(D190="","",_xldudf_A_ENTICON(D190))</f>
        <v>#VALUE!</v>
      </c>
      <c r="H190" t="s">
        <v>564</v>
      </c>
    </row>
    <row r="191" spans="2:8" x14ac:dyDescent="0.25">
      <c r="B191" s="3"/>
      <c r="C191" t="e" cm="1">
        <f t="array" ref="C191">_xlfn.TEXTSPLIT(B191, """")</f>
        <v>#VALUE!</v>
      </c>
      <c r="F191" t="str" cm="1">
        <f t="array" ref="F191">IF(D191="","",_xldudf_A_ENTICON(D191))</f>
        <v/>
      </c>
      <c r="H191" t="s">
        <v>564</v>
      </c>
    </row>
    <row r="192" spans="2:8" x14ac:dyDescent="0.25">
      <c r="B192" s="3" t="s">
        <v>109</v>
      </c>
      <c r="C192" t="str" cm="1">
        <f t="array" ref="C192:E192">_xlfn.TEXTSPLIT(B192, """")</f>
        <v xml:space="preserve">clock = </v>
      </c>
      <c r="D192" t="str">
        <v>Clock</v>
      </c>
      <c r="E192" t="str">
        <v/>
      </c>
      <c r="F192" t="e" cm="1" vm="100">
        <f t="array" ref="F192">IF(D192="","",_xldudf_A_ENTICON(D192))</f>
        <v>#VALUE!</v>
      </c>
      <c r="H192" t="s">
        <v>564</v>
      </c>
    </row>
    <row r="193" spans="2:8" x14ac:dyDescent="0.25">
      <c r="B193" s="3"/>
      <c r="C193" t="e" cm="1">
        <f t="array" ref="C193">_xlfn.TEXTSPLIT(B193, """")</f>
        <v>#VALUE!</v>
      </c>
      <c r="F193" t="str" cm="1">
        <f t="array" ref="F193">IF(D193="","",_xldudf_A_ENTICON(D193))</f>
        <v/>
      </c>
      <c r="H193" t="s">
        <v>564</v>
      </c>
    </row>
    <row r="194" spans="2:8" x14ac:dyDescent="0.25">
      <c r="B194" s="3" t="s">
        <v>110</v>
      </c>
      <c r="C194" t="str" cm="1">
        <f t="array" ref="C194:E194">_xlfn.TEXTSPLIT(B194, """")</f>
        <v xml:space="preserve">clockAlarm = </v>
      </c>
      <c r="D194" t="str">
        <v>ClockAlarm</v>
      </c>
      <c r="E194" t="str">
        <v/>
      </c>
      <c r="F194" t="e" cm="1" vm="101">
        <f t="array" ref="F194">IF(D194="","",_xldudf_A_ENTICON(D194))</f>
        <v>#VALUE!</v>
      </c>
      <c r="H194" t="s">
        <v>564</v>
      </c>
    </row>
    <row r="195" spans="2:8" x14ac:dyDescent="0.25">
      <c r="B195" s="3"/>
      <c r="C195" t="e" cm="1">
        <f t="array" ref="C195">_xlfn.TEXTSPLIT(B195, """")</f>
        <v>#VALUE!</v>
      </c>
      <c r="F195" t="str" cm="1">
        <f t="array" ref="F195">IF(D195="","",_xldudf_A_ENTICON(D195))</f>
        <v/>
      </c>
      <c r="H195" t="s">
        <v>564</v>
      </c>
    </row>
    <row r="196" spans="2:8" x14ac:dyDescent="0.25">
      <c r="B196" s="3" t="s">
        <v>111</v>
      </c>
      <c r="C196" t="str" cm="1">
        <f t="array" ref="C196:E196">_xlfn.TEXTSPLIT(B196, """")</f>
        <v xml:space="preserve">cloud = </v>
      </c>
      <c r="D196" t="str">
        <v>Cloud</v>
      </c>
      <c r="E196" t="str">
        <v/>
      </c>
      <c r="F196" t="e" cm="1" vm="102">
        <f t="array" ref="F196">IF(D196="","",_xldudf_A_ENTICON(D196))</f>
        <v>#VALUE!</v>
      </c>
      <c r="H196" t="s">
        <v>564</v>
      </c>
    </row>
    <row r="197" spans="2:8" x14ac:dyDescent="0.25">
      <c r="B197" s="3"/>
      <c r="C197" t="e" cm="1">
        <f t="array" ref="C197">_xlfn.TEXTSPLIT(B197, """")</f>
        <v>#VALUE!</v>
      </c>
      <c r="F197" t="str" cm="1">
        <f t="array" ref="F197">IF(D197="","",_xldudf_A_ENTICON(D197))</f>
        <v/>
      </c>
      <c r="H197" t="s">
        <v>564</v>
      </c>
    </row>
    <row r="198" spans="2:8" x14ac:dyDescent="0.25">
      <c r="B198" s="3" t="s">
        <v>112</v>
      </c>
      <c r="C198" t="str" cm="1">
        <f t="array" ref="C198:E198">_xlfn.TEXTSPLIT(B198, """")</f>
        <v xml:space="preserve">cloudWords = </v>
      </c>
      <c r="D198" t="str">
        <v>CloudWords</v>
      </c>
      <c r="E198" t="str">
        <v/>
      </c>
      <c r="F198" t="e" cm="1" vm="103">
        <f t="array" ref="F198">IF(D198="","",_xldudf_A_ENTICON(D198))</f>
        <v>#VALUE!</v>
      </c>
      <c r="H198" t="s">
        <v>564</v>
      </c>
    </row>
    <row r="199" spans="2:8" x14ac:dyDescent="0.25">
      <c r="B199" s="3"/>
      <c r="C199" t="e" cm="1">
        <f t="array" ref="C199">_xlfn.TEXTSPLIT(B199, """")</f>
        <v>#VALUE!</v>
      </c>
      <c r="F199" t="str" cm="1">
        <f t="array" ref="F199">IF(D199="","",_xldudf_A_ENTICON(D199))</f>
        <v/>
      </c>
      <c r="H199" t="s">
        <v>564</v>
      </c>
    </row>
    <row r="200" spans="2:8" x14ac:dyDescent="0.25">
      <c r="B200" s="3" t="s">
        <v>113</v>
      </c>
      <c r="C200" t="str" cm="1">
        <f t="array" ref="C200:E200">_xlfn.TEXTSPLIT(B200, """")</f>
        <v xml:space="preserve">code = </v>
      </c>
      <c r="D200" t="str">
        <v>Code</v>
      </c>
      <c r="E200" t="str">
        <v/>
      </c>
      <c r="F200" t="e" cm="1" vm="104">
        <f t="array" ref="F200">IF(D200="","",_xldudf_A_ENTICON(D200))</f>
        <v>#VALUE!</v>
      </c>
      <c r="H200" t="s">
        <v>564</v>
      </c>
    </row>
    <row r="201" spans="2:8" x14ac:dyDescent="0.25">
      <c r="B201" s="3"/>
      <c r="C201" t="e" cm="1">
        <f t="array" ref="C201">_xlfn.TEXTSPLIT(B201, """")</f>
        <v>#VALUE!</v>
      </c>
      <c r="F201" t="str" cm="1">
        <f t="array" ref="F201">IF(D201="","",_xldudf_A_ENTICON(D201))</f>
        <v/>
      </c>
      <c r="H201" t="s">
        <v>564</v>
      </c>
    </row>
    <row r="202" spans="2:8" x14ac:dyDescent="0.25">
      <c r="B202" s="3" t="s">
        <v>114</v>
      </c>
      <c r="C202" t="str" cm="1">
        <f t="array" ref="C202:E202">_xlfn.TEXTSPLIT(B202, """")</f>
        <v xml:space="preserve">collections = </v>
      </c>
      <c r="D202" t="str">
        <v>Collections</v>
      </c>
      <c r="E202" t="str">
        <v/>
      </c>
      <c r="F202" t="e" cm="1" vm="105">
        <f t="array" ref="F202">IF(D202="","",_xldudf_A_ENTICON(D202))</f>
        <v>#VALUE!</v>
      </c>
      <c r="H202" t="s">
        <v>564</v>
      </c>
    </row>
    <row r="203" spans="2:8" x14ac:dyDescent="0.25">
      <c r="B203" s="3"/>
      <c r="C203" t="e" cm="1">
        <f t="array" ref="C203">_xlfn.TEXTSPLIT(B203, """")</f>
        <v>#VALUE!</v>
      </c>
      <c r="F203" t="str" cm="1">
        <f t="array" ref="F203">IF(D203="","",_xldudf_A_ENTICON(D203))</f>
        <v/>
      </c>
      <c r="H203" t="s">
        <v>564</v>
      </c>
    </row>
    <row r="204" spans="2:8" x14ac:dyDescent="0.25">
      <c r="B204" s="3" t="s">
        <v>115</v>
      </c>
      <c r="C204" t="str" cm="1">
        <f t="array" ref="C204:E204">_xlfn.TEXTSPLIT(B204, """")</f>
        <v xml:space="preserve">comment = </v>
      </c>
      <c r="D204" t="str">
        <v>Comment</v>
      </c>
      <c r="E204" t="str">
        <v/>
      </c>
      <c r="F204" t="e" cm="1" vm="106">
        <f t="array" ref="F204">IF(D204="","",_xldudf_A_ENTICON(D204))</f>
        <v>#VALUE!</v>
      </c>
      <c r="H204" t="s">
        <v>564</v>
      </c>
    </row>
    <row r="205" spans="2:8" x14ac:dyDescent="0.25">
      <c r="B205" s="3"/>
      <c r="C205" t="e" cm="1">
        <f t="array" ref="C205">_xlfn.TEXTSPLIT(B205, """")</f>
        <v>#VALUE!</v>
      </c>
      <c r="F205" t="str" cm="1">
        <f t="array" ref="F205">IF(D205="","",_xldudf_A_ENTICON(D205))</f>
        <v/>
      </c>
      <c r="H205" t="s">
        <v>564</v>
      </c>
    </row>
    <row r="206" spans="2:8" x14ac:dyDescent="0.25">
      <c r="B206" s="3" t="s">
        <v>116</v>
      </c>
      <c r="C206" t="str" cm="1">
        <f t="array" ref="C206:E206">_xlfn.TEXTSPLIT(B206, """")</f>
        <v xml:space="preserve">commentMultiple = </v>
      </c>
      <c r="D206" t="str">
        <v>CommentMultiple</v>
      </c>
      <c r="E206" t="str">
        <v/>
      </c>
      <c r="F206" t="e" cm="1" vm="107">
        <f t="array" ref="F206">IF(D206="","",_xldudf_A_ENTICON(D206))</f>
        <v>#VALUE!</v>
      </c>
      <c r="H206" t="s">
        <v>564</v>
      </c>
    </row>
    <row r="207" spans="2:8" x14ac:dyDescent="0.25">
      <c r="B207" s="3"/>
      <c r="C207" t="e" cm="1">
        <f t="array" ref="C207">_xlfn.TEXTSPLIT(B207, """")</f>
        <v>#VALUE!</v>
      </c>
      <c r="F207" t="str" cm="1">
        <f t="array" ref="F207">IF(D207="","",_xldudf_A_ENTICON(D207))</f>
        <v/>
      </c>
      <c r="H207" t="s">
        <v>564</v>
      </c>
    </row>
    <row r="208" spans="2:8" x14ac:dyDescent="0.25">
      <c r="B208" s="3" t="s">
        <v>117</v>
      </c>
      <c r="C208" t="str" cm="1">
        <f t="array" ref="C208:E208">_xlfn.TEXTSPLIT(B208, """")</f>
        <v xml:space="preserve">communication = </v>
      </c>
      <c r="D208" t="str">
        <v>Communication</v>
      </c>
      <c r="E208" t="str">
        <v/>
      </c>
      <c r="F208" t="e" cm="1" vm="108">
        <f t="array" ref="F208">IF(D208="","",_xldudf_A_ENTICON(D208))</f>
        <v>#VALUE!</v>
      </c>
      <c r="H208" t="s">
        <v>564</v>
      </c>
    </row>
    <row r="209" spans="2:8" x14ac:dyDescent="0.25">
      <c r="B209" s="3"/>
      <c r="C209" t="e" cm="1">
        <f t="array" ref="C209">_xlfn.TEXTSPLIT(B209, """")</f>
        <v>#VALUE!</v>
      </c>
      <c r="F209" t="str" cm="1">
        <f t="array" ref="F209">IF(D209="","",_xldudf_A_ENTICON(D209))</f>
        <v/>
      </c>
      <c r="H209" t="s">
        <v>564</v>
      </c>
    </row>
    <row r="210" spans="2:8" x14ac:dyDescent="0.25">
      <c r="B210" s="3" t="s">
        <v>118</v>
      </c>
      <c r="C210" t="str" cm="1">
        <f t="array" ref="C210:E210">_xlfn.TEXTSPLIT(B210, """")</f>
        <v xml:space="preserve">compassNorthwest = </v>
      </c>
      <c r="D210" t="str">
        <v>CompassNorthwest</v>
      </c>
      <c r="E210" t="str">
        <v/>
      </c>
      <c r="F210" t="e" cm="1" vm="109">
        <f t="array" ref="F210">IF(D210="","",_xldudf_A_ENTICON(D210))</f>
        <v>#VALUE!</v>
      </c>
      <c r="H210" t="s">
        <v>564</v>
      </c>
    </row>
    <row r="211" spans="2:8" x14ac:dyDescent="0.25">
      <c r="B211" s="3"/>
      <c r="C211" t="e" cm="1">
        <f t="array" ref="C211">_xlfn.TEXTSPLIT(B211, """")</f>
        <v>#VALUE!</v>
      </c>
      <c r="F211" t="str" cm="1">
        <f t="array" ref="F211">IF(D211="","",_xldudf_A_ENTICON(D211))</f>
        <v/>
      </c>
      <c r="H211" t="s">
        <v>564</v>
      </c>
    </row>
    <row r="212" spans="2:8" x14ac:dyDescent="0.25">
      <c r="B212" s="3" t="s">
        <v>119</v>
      </c>
      <c r="C212" t="str" cm="1">
        <f t="array" ref="C212:E212">_xlfn.TEXTSPLIT(B212, """")</f>
        <v xml:space="preserve">conferenceRoom = </v>
      </c>
      <c r="D212" t="str">
        <v>ConferenceRoom</v>
      </c>
      <c r="E212" t="str">
        <v/>
      </c>
      <c r="F212" t="e" cm="1" vm="110">
        <f t="array" ref="F212">IF(D212="","",_xldudf_A_ENTICON(D212))</f>
        <v>#VALUE!</v>
      </c>
      <c r="H212" t="s">
        <v>564</v>
      </c>
    </row>
    <row r="213" spans="2:8" x14ac:dyDescent="0.25">
      <c r="B213" s="3"/>
      <c r="C213" t="e" cm="1">
        <f t="array" ref="C213">_xlfn.TEXTSPLIT(B213, """")</f>
        <v>#VALUE!</v>
      </c>
      <c r="F213" t="str" cm="1">
        <f t="array" ref="F213">IF(D213="","",_xldudf_A_ENTICON(D213))</f>
        <v/>
      </c>
      <c r="H213" t="s">
        <v>564</v>
      </c>
    </row>
    <row r="214" spans="2:8" x14ac:dyDescent="0.25">
      <c r="B214" s="3" t="s">
        <v>120</v>
      </c>
      <c r="C214" t="str" cm="1">
        <f t="array" ref="C214:E214">_xlfn.TEXTSPLIT(B214, """")</f>
        <v xml:space="preserve">connector = </v>
      </c>
      <c r="D214" t="str">
        <v>Connector</v>
      </c>
      <c r="E214" t="str">
        <v/>
      </c>
      <c r="F214" t="e" cm="1" vm="111">
        <f t="array" ref="F214">IF(D214="","",_xldudf_A_ENTICON(D214))</f>
        <v>#VALUE!</v>
      </c>
      <c r="H214" t="s">
        <v>564</v>
      </c>
    </row>
    <row r="215" spans="2:8" x14ac:dyDescent="0.25">
      <c r="B215" s="3"/>
      <c r="C215" t="e" cm="1">
        <f t="array" ref="C215">_xlfn.TEXTSPLIT(B215, """")</f>
        <v>#VALUE!</v>
      </c>
      <c r="F215" t="str" cm="1">
        <f t="array" ref="F215">IF(D215="","",_xldudf_A_ENTICON(D215))</f>
        <v/>
      </c>
      <c r="H215" t="s">
        <v>564</v>
      </c>
    </row>
    <row r="216" spans="2:8" x14ac:dyDescent="0.25">
      <c r="B216" s="3" t="s">
        <v>121</v>
      </c>
      <c r="C216" t="str" cm="1">
        <f t="array" ref="C216:E216">_xlfn.TEXTSPLIT(B216, """")</f>
        <v xml:space="preserve">constellation = </v>
      </c>
      <c r="D216" t="str">
        <v>Constellation</v>
      </c>
      <c r="E216" t="str">
        <v/>
      </c>
      <c r="F216" t="e" cm="1" vm="112">
        <f t="array" ref="F216">IF(D216="","",_xldudf_A_ENTICON(D216))</f>
        <v>#VALUE!</v>
      </c>
      <c r="H216" t="s">
        <v>564</v>
      </c>
    </row>
    <row r="217" spans="2:8" x14ac:dyDescent="0.25">
      <c r="B217" s="3"/>
      <c r="C217" t="e" cm="1">
        <f t="array" ref="C217">_xlfn.TEXTSPLIT(B217, """")</f>
        <v>#VALUE!</v>
      </c>
      <c r="F217" t="str" cm="1">
        <f t="array" ref="F217">IF(D217="","",_xldudf_A_ENTICON(D217))</f>
        <v/>
      </c>
      <c r="H217" t="s">
        <v>564</v>
      </c>
    </row>
    <row r="218" spans="2:8" x14ac:dyDescent="0.25">
      <c r="B218" s="3" t="s">
        <v>122</v>
      </c>
      <c r="C218" t="str" cm="1">
        <f t="array" ref="C218:E218">_xlfn.TEXTSPLIT(B218, """")</f>
        <v xml:space="preserve">contactCard = </v>
      </c>
      <c r="D218" t="str">
        <v>ContactCard</v>
      </c>
      <c r="E218" t="str">
        <v/>
      </c>
      <c r="F218" t="e" cm="1" vm="113">
        <f t="array" ref="F218">IF(D218="","",_xldudf_A_ENTICON(D218))</f>
        <v>#VALUE!</v>
      </c>
      <c r="H218" t="s">
        <v>564</v>
      </c>
    </row>
    <row r="219" spans="2:8" x14ac:dyDescent="0.25">
      <c r="B219" s="3"/>
      <c r="C219" t="e" cm="1">
        <f t="array" ref="C219">_xlfn.TEXTSPLIT(B219, """")</f>
        <v>#VALUE!</v>
      </c>
      <c r="F219" t="str" cm="1">
        <f t="array" ref="F219">IF(D219="","",_xldudf_A_ENTICON(D219))</f>
        <v/>
      </c>
      <c r="H219" t="s">
        <v>564</v>
      </c>
    </row>
    <row r="220" spans="2:8" x14ac:dyDescent="0.25">
      <c r="B220" s="3" t="s">
        <v>123</v>
      </c>
      <c r="C220" t="str" cm="1">
        <f t="array" ref="C220:E220">_xlfn.TEXTSPLIT(B220, """")</f>
        <v xml:space="preserve">cookies = </v>
      </c>
      <c r="D220" t="str">
        <v>Cookies</v>
      </c>
      <c r="E220" t="str">
        <v/>
      </c>
      <c r="F220" t="e" cm="1" vm="114">
        <f t="array" ref="F220">IF(D220="","",_xldudf_A_ENTICON(D220))</f>
        <v>#VALUE!</v>
      </c>
      <c r="H220" t="s">
        <v>564</v>
      </c>
    </row>
    <row r="221" spans="2:8" x14ac:dyDescent="0.25">
      <c r="B221" s="3"/>
      <c r="C221" t="e" cm="1">
        <f t="array" ref="C221">_xlfn.TEXTSPLIT(B221, """")</f>
        <v>#VALUE!</v>
      </c>
      <c r="F221" t="str" cm="1">
        <f t="array" ref="F221">IF(D221="","",_xldudf_A_ENTICON(D221))</f>
        <v/>
      </c>
      <c r="H221" t="s">
        <v>564</v>
      </c>
    </row>
    <row r="222" spans="2:8" x14ac:dyDescent="0.25">
      <c r="B222" s="3" t="s">
        <v>124</v>
      </c>
      <c r="C222" t="str" cm="1">
        <f t="array" ref="C222:E222">_xlfn.TEXTSPLIT(B222, """")</f>
        <v xml:space="preserve">couch = </v>
      </c>
      <c r="D222" t="str">
        <v>Couch</v>
      </c>
      <c r="E222" t="str">
        <v/>
      </c>
      <c r="F222" t="e" cm="1" vm="115">
        <f t="array" ref="F222">IF(D222="","",_xldudf_A_ENTICON(D222))</f>
        <v>#VALUE!</v>
      </c>
      <c r="H222" t="s">
        <v>564</v>
      </c>
    </row>
    <row r="223" spans="2:8" x14ac:dyDescent="0.25">
      <c r="B223" s="3"/>
      <c r="C223" t="e" cm="1">
        <f t="array" ref="C223">_xlfn.TEXTSPLIT(B223, """")</f>
        <v>#VALUE!</v>
      </c>
      <c r="F223" t="str" cm="1">
        <f t="array" ref="F223">IF(D223="","",_xldudf_A_ENTICON(D223))</f>
        <v/>
      </c>
      <c r="H223" t="s">
        <v>564</v>
      </c>
    </row>
    <row r="224" spans="2:8" x14ac:dyDescent="0.25">
      <c r="B224" s="3" t="s">
        <v>125</v>
      </c>
      <c r="C224" t="str" cm="1">
        <f t="array" ref="C224:E224">_xlfn.TEXTSPLIT(B224, """")</f>
        <v xml:space="preserve">creditCardPerson = </v>
      </c>
      <c r="D224" t="str">
        <v>CreditCardPerson</v>
      </c>
      <c r="E224" t="str">
        <v/>
      </c>
      <c r="F224" t="e" cm="1" vm="116">
        <f t="array" ref="F224">IF(D224="","",_xldudf_A_ENTICON(D224))</f>
        <v>#VALUE!</v>
      </c>
      <c r="H224" t="s">
        <v>564</v>
      </c>
    </row>
    <row r="225" spans="2:8" x14ac:dyDescent="0.25">
      <c r="B225" s="3"/>
      <c r="C225" t="e" cm="1">
        <f t="array" ref="C225">_xlfn.TEXTSPLIT(B225, """")</f>
        <v>#VALUE!</v>
      </c>
      <c r="F225" t="str" cm="1">
        <f t="array" ref="F225">IF(D225="","",_xldudf_A_ENTICON(D225))</f>
        <v/>
      </c>
      <c r="H225" t="s">
        <v>564</v>
      </c>
    </row>
    <row r="226" spans="2:8" x14ac:dyDescent="0.25">
      <c r="B226" s="3" t="s">
        <v>126</v>
      </c>
      <c r="C226" t="str" cm="1">
        <f t="array" ref="C226:E226">_xlfn.TEXTSPLIT(B226, """")</f>
        <v xml:space="preserve">creditCardToolbox = </v>
      </c>
      <c r="D226" t="str">
        <v>CreditCardToolbox</v>
      </c>
      <c r="E226" t="str">
        <v/>
      </c>
      <c r="F226" t="e" cm="1" vm="117">
        <f t="array" ref="F226">IF(D226="","",_xldudf_A_ENTICON(D226))</f>
        <v>#VALUE!</v>
      </c>
      <c r="H226" t="s">
        <v>564</v>
      </c>
    </row>
    <row r="227" spans="2:8" x14ac:dyDescent="0.25">
      <c r="B227" s="3"/>
      <c r="C227" t="e" cm="1">
        <f t="array" ref="C227">_xlfn.TEXTSPLIT(B227, """")</f>
        <v>#VALUE!</v>
      </c>
      <c r="F227" t="str" cm="1">
        <f t="array" ref="F227">IF(D227="","",_xldudf_A_ENTICON(D227))</f>
        <v/>
      </c>
      <c r="H227" t="s">
        <v>564</v>
      </c>
    </row>
    <row r="228" spans="2:8" x14ac:dyDescent="0.25">
      <c r="B228" s="3" t="s">
        <v>127</v>
      </c>
      <c r="C228" t="str" cm="1">
        <f t="array" ref="C228:E228">_xlfn.TEXTSPLIT(B228, """")</f>
        <v xml:space="preserve">cube = </v>
      </c>
      <c r="D228" t="str">
        <v>Cube</v>
      </c>
      <c r="E228" t="str">
        <v/>
      </c>
      <c r="F228" t="e" cm="1" vm="118">
        <f t="array" ref="F228">IF(D228="","",_xldudf_A_ENTICON(D228))</f>
        <v>#VALUE!</v>
      </c>
      <c r="H228" t="s">
        <v>564</v>
      </c>
    </row>
    <row r="229" spans="2:8" x14ac:dyDescent="0.25">
      <c r="B229" s="3"/>
      <c r="C229" t="e" cm="1">
        <f t="array" ref="C229">_xlfn.TEXTSPLIT(B229, """")</f>
        <v>#VALUE!</v>
      </c>
      <c r="F229" t="str" cm="1">
        <f t="array" ref="F229">IF(D229="","",_xldudf_A_ENTICON(D229))</f>
        <v/>
      </c>
      <c r="H229" t="s">
        <v>564</v>
      </c>
    </row>
    <row r="230" spans="2:8" x14ac:dyDescent="0.25">
      <c r="B230" s="3" t="s">
        <v>128</v>
      </c>
      <c r="C230" t="str" cm="1">
        <f t="array" ref="C230:E230">_xlfn.TEXTSPLIT(B230, """")</f>
        <v xml:space="preserve">cubeMultiple = </v>
      </c>
      <c r="D230" t="str">
        <v>CubeMultiple</v>
      </c>
      <c r="E230" t="str">
        <v/>
      </c>
      <c r="F230" t="e" cm="1" vm="119">
        <f t="array" ref="F230">IF(D230="","",_xldudf_A_ENTICON(D230))</f>
        <v>#VALUE!</v>
      </c>
      <c r="H230" t="s">
        <v>564</v>
      </c>
    </row>
    <row r="231" spans="2:8" x14ac:dyDescent="0.25">
      <c r="B231" s="3"/>
      <c r="C231" t="e" cm="1">
        <f t="array" ref="C231">_xlfn.TEXTSPLIT(B231, """")</f>
        <v>#VALUE!</v>
      </c>
      <c r="F231" t="str" cm="1">
        <f t="array" ref="F231">IF(D231="","",_xldudf_A_ENTICON(D231))</f>
        <v/>
      </c>
      <c r="H231" t="s">
        <v>564</v>
      </c>
    </row>
    <row r="232" spans="2:8" x14ac:dyDescent="0.25">
      <c r="B232" s="3" t="s">
        <v>129</v>
      </c>
      <c r="C232" t="str" cm="1">
        <f t="array" ref="C232:E232">_xlfn.TEXTSPLIT(B232, """")</f>
        <v xml:space="preserve">cubeTree = </v>
      </c>
      <c r="D232" t="str">
        <v>CubeTree</v>
      </c>
      <c r="E232" t="str">
        <v/>
      </c>
      <c r="F232" t="e" cm="1" vm="120">
        <f t="array" ref="F232">IF(D232="","",_xldudf_A_ENTICON(D232))</f>
        <v>#VALUE!</v>
      </c>
      <c r="H232" t="s">
        <v>564</v>
      </c>
    </row>
    <row r="233" spans="2:8" x14ac:dyDescent="0.25">
      <c r="B233" s="3"/>
      <c r="C233" t="e" cm="1">
        <f t="array" ref="C233">_xlfn.TEXTSPLIT(B233, """")</f>
        <v>#VALUE!</v>
      </c>
      <c r="F233" t="str" cm="1">
        <f t="array" ref="F233">IF(D233="","",_xldudf_A_ENTICON(D233))</f>
        <v/>
      </c>
      <c r="H233" t="s">
        <v>564</v>
      </c>
    </row>
    <row r="234" spans="2:8" x14ac:dyDescent="0.25">
      <c r="B234" s="3" t="s">
        <v>130</v>
      </c>
      <c r="C234" t="str" cm="1">
        <f t="array" ref="C234:E234">_xlfn.TEXTSPLIT(B234, """")</f>
        <v xml:space="preserve">currencyDollarEuro = </v>
      </c>
      <c r="D234" t="str">
        <v>CurrencyDollarEuro</v>
      </c>
      <c r="E234" t="str">
        <v/>
      </c>
      <c r="F234" t="e" cm="1" vm="121">
        <f t="array" ref="F234">IF(D234="","",_xldudf_A_ENTICON(D234))</f>
        <v>#VALUE!</v>
      </c>
      <c r="H234" t="s">
        <v>564</v>
      </c>
    </row>
    <row r="235" spans="2:8" x14ac:dyDescent="0.25">
      <c r="B235" s="3"/>
      <c r="C235" t="e" cm="1">
        <f t="array" ref="C235">_xlfn.TEXTSPLIT(B235, """")</f>
        <v>#VALUE!</v>
      </c>
      <c r="F235" t="str" cm="1">
        <f t="array" ref="F235">IF(D235="","",_xldudf_A_ENTICON(D235))</f>
        <v/>
      </c>
      <c r="H235" t="s">
        <v>564</v>
      </c>
    </row>
    <row r="236" spans="2:8" x14ac:dyDescent="0.25">
      <c r="B236" s="3" t="s">
        <v>131</v>
      </c>
      <c r="C236" t="str" cm="1">
        <f t="array" ref="C236:E236">_xlfn.TEXTSPLIT(B236, """")</f>
        <v xml:space="preserve">currencyDollarRupee = </v>
      </c>
      <c r="D236" t="str">
        <v>CurrencyDollarRupee</v>
      </c>
      <c r="E236" t="str">
        <v/>
      </c>
      <c r="F236" t="e" cm="1" vm="122">
        <f t="array" ref="F236">IF(D236="","",_xldudf_A_ENTICON(D236))</f>
        <v>#VALUE!</v>
      </c>
      <c r="H236" t="s">
        <v>564</v>
      </c>
    </row>
    <row r="237" spans="2:8" x14ac:dyDescent="0.25">
      <c r="B237" s="3"/>
      <c r="C237" t="e" cm="1">
        <f t="array" ref="C237">_xlfn.TEXTSPLIT(B237, """")</f>
        <v>#VALUE!</v>
      </c>
      <c r="F237" t="str" cm="1">
        <f t="array" ref="F237">IF(D237="","",_xldudf_A_ENTICON(D237))</f>
        <v/>
      </c>
      <c r="H237" t="s">
        <v>564</v>
      </c>
    </row>
    <row r="238" spans="2:8" x14ac:dyDescent="0.25">
      <c r="B238" s="3" t="s">
        <v>132</v>
      </c>
      <c r="C238" t="str" cm="1">
        <f t="array" ref="C238:E238">_xlfn.TEXTSPLIT(B238, """")</f>
        <v xml:space="preserve">dataArea = </v>
      </c>
      <c r="D238" t="str">
        <v>DataArea</v>
      </c>
      <c r="E238" t="str">
        <v/>
      </c>
      <c r="F238" t="e" cm="1" vm="123">
        <f t="array" ref="F238">IF(D238="","",_xldudf_A_ENTICON(D238))</f>
        <v>#VALUE!</v>
      </c>
      <c r="H238" t="s">
        <v>564</v>
      </c>
    </row>
    <row r="239" spans="2:8" x14ac:dyDescent="0.25">
      <c r="B239" s="3"/>
      <c r="C239" t="e" cm="1">
        <f t="array" ref="C239">_xlfn.TEXTSPLIT(B239, """")</f>
        <v>#VALUE!</v>
      </c>
      <c r="F239" t="str" cm="1">
        <f t="array" ref="F239">IF(D239="","",_xldudf_A_ENTICON(D239))</f>
        <v/>
      </c>
      <c r="H239" t="s">
        <v>564</v>
      </c>
    </row>
    <row r="240" spans="2:8" x14ac:dyDescent="0.25">
      <c r="B240" s="3" t="s">
        <v>133</v>
      </c>
      <c r="C240" t="str" cm="1">
        <f t="array" ref="C240:E240">_xlfn.TEXTSPLIT(B240, """")</f>
        <v xml:space="preserve">database = </v>
      </c>
      <c r="D240" t="str">
        <v>Database</v>
      </c>
      <c r="E240" t="str">
        <v/>
      </c>
      <c r="F240" t="e" cm="1" vm="124">
        <f t="array" ref="F240">IF(D240="","",_xldudf_A_ENTICON(D240))</f>
        <v>#VALUE!</v>
      </c>
      <c r="H240" t="s">
        <v>564</v>
      </c>
    </row>
    <row r="241" spans="2:8" x14ac:dyDescent="0.25">
      <c r="B241" s="3"/>
      <c r="C241" t="e" cm="1">
        <f t="array" ref="C241">_xlfn.TEXTSPLIT(B241, """")</f>
        <v>#VALUE!</v>
      </c>
      <c r="F241" t="str" cm="1">
        <f t="array" ref="F241">IF(D241="","",_xldudf_A_ENTICON(D241))</f>
        <v/>
      </c>
      <c r="H241" t="s">
        <v>564</v>
      </c>
    </row>
    <row r="242" spans="2:8" x14ac:dyDescent="0.25">
      <c r="B242" s="3" t="s">
        <v>134</v>
      </c>
      <c r="C242" t="str" cm="1">
        <f t="array" ref="C242:E242">_xlfn.TEXTSPLIT(B242, """")</f>
        <v xml:space="preserve">databaseMultiple = </v>
      </c>
      <c r="D242" t="str">
        <v>DatabaseMultiple</v>
      </c>
      <c r="E242" t="str">
        <v/>
      </c>
      <c r="F242" t="e" cm="1" vm="125">
        <f t="array" ref="F242">IF(D242="","",_xldudf_A_ENTICON(D242))</f>
        <v>#VALUE!</v>
      </c>
      <c r="H242" t="s">
        <v>564</v>
      </c>
    </row>
    <row r="243" spans="2:8" x14ac:dyDescent="0.25">
      <c r="B243" s="3"/>
      <c r="C243" t="e" cm="1">
        <f t="array" ref="C243">_xlfn.TEXTSPLIT(B243, """")</f>
        <v>#VALUE!</v>
      </c>
      <c r="F243" t="str" cm="1">
        <f t="array" ref="F243">IF(D243="","",_xldudf_A_ENTICON(D243))</f>
        <v/>
      </c>
      <c r="H243" t="s">
        <v>564</v>
      </c>
    </row>
    <row r="244" spans="2:8" x14ac:dyDescent="0.25">
      <c r="B244" s="3" t="s">
        <v>135</v>
      </c>
      <c r="C244" t="str" cm="1">
        <f t="array" ref="C244:E244">_xlfn.TEXTSPLIT(B244, """")</f>
        <v xml:space="preserve">dataFunnel = </v>
      </c>
      <c r="D244" t="str">
        <v>DataFunnel</v>
      </c>
      <c r="E244" t="str">
        <v/>
      </c>
      <c r="F244" t="e" cm="1" vm="126">
        <f t="array" ref="F244">IF(D244="","",_xldudf_A_ENTICON(D244))</f>
        <v>#VALUE!</v>
      </c>
      <c r="H244" t="s">
        <v>564</v>
      </c>
    </row>
    <row r="245" spans="2:8" x14ac:dyDescent="0.25">
      <c r="B245" s="3"/>
      <c r="C245" t="e" cm="1">
        <f t="array" ref="C245">_xlfn.TEXTSPLIT(B245, """")</f>
        <v>#VALUE!</v>
      </c>
      <c r="F245" t="str" cm="1">
        <f t="array" ref="F245">IF(D245="","",_xldudf_A_ENTICON(D245))</f>
        <v/>
      </c>
      <c r="H245" t="s">
        <v>564</v>
      </c>
    </row>
    <row r="246" spans="2:8" x14ac:dyDescent="0.25">
      <c r="B246" s="3" t="s">
        <v>136</v>
      </c>
      <c r="C246" t="str" cm="1">
        <f t="array" ref="C246:E246">_xlfn.TEXTSPLIT(B246, """")</f>
        <v xml:space="preserve">dataHistogram = </v>
      </c>
      <c r="D246" t="str">
        <v>DataHistogram</v>
      </c>
      <c r="E246" t="str">
        <v/>
      </c>
      <c r="F246" t="e" cm="1" vm="127">
        <f t="array" ref="F246">IF(D246="","",_xldudf_A_ENTICON(D246))</f>
        <v>#VALUE!</v>
      </c>
      <c r="H246" t="s">
        <v>564</v>
      </c>
    </row>
    <row r="247" spans="2:8" x14ac:dyDescent="0.25">
      <c r="B247" s="3"/>
      <c r="C247" t="e" cm="1">
        <f t="array" ref="C247">_xlfn.TEXTSPLIT(B247, """")</f>
        <v>#VALUE!</v>
      </c>
      <c r="F247" t="str" cm="1">
        <f t="array" ref="F247">IF(D247="","",_xldudf_A_ENTICON(D247))</f>
        <v/>
      </c>
      <c r="H247" t="s">
        <v>564</v>
      </c>
    </row>
    <row r="248" spans="2:8" x14ac:dyDescent="0.25">
      <c r="B248" s="3" t="s">
        <v>137</v>
      </c>
      <c r="C248" t="str" cm="1">
        <f t="array" ref="C248:E248">_xlfn.TEXTSPLIT(B248, """")</f>
        <v xml:space="preserve">dataLine = </v>
      </c>
      <c r="D248" t="str">
        <v>DataLine</v>
      </c>
      <c r="E248" t="str">
        <v/>
      </c>
      <c r="F248" t="e" cm="1" vm="128">
        <f t="array" ref="F248">IF(D248="","",_xldudf_A_ENTICON(D248))</f>
        <v>#VALUE!</v>
      </c>
      <c r="H248" t="s">
        <v>564</v>
      </c>
    </row>
    <row r="249" spans="2:8" x14ac:dyDescent="0.25">
      <c r="B249" s="3"/>
      <c r="C249" t="e" cm="1">
        <f t="array" ref="C249">_xlfn.TEXTSPLIT(B249, """")</f>
        <v>#VALUE!</v>
      </c>
      <c r="F249" t="str" cm="1">
        <f t="array" ref="F249">IF(D249="","",_xldudf_A_ENTICON(D249))</f>
        <v/>
      </c>
      <c r="H249" t="s">
        <v>564</v>
      </c>
    </row>
    <row r="250" spans="2:8" x14ac:dyDescent="0.25">
      <c r="B250" s="3" t="s">
        <v>138</v>
      </c>
      <c r="C250" t="str" cm="1">
        <f t="array" ref="C250:E250">_xlfn.TEXTSPLIT(B250, """")</f>
        <v xml:space="preserve">dataPie = </v>
      </c>
      <c r="D250" t="str">
        <v>DataPie</v>
      </c>
      <c r="E250" t="str">
        <v/>
      </c>
      <c r="F250" t="e" cm="1" vm="129">
        <f t="array" ref="F250">IF(D250="","",_xldudf_A_ENTICON(D250))</f>
        <v>#VALUE!</v>
      </c>
      <c r="H250" t="s">
        <v>564</v>
      </c>
    </row>
    <row r="251" spans="2:8" x14ac:dyDescent="0.25">
      <c r="B251" s="3"/>
      <c r="C251" t="e" cm="1">
        <f t="array" ref="C251">_xlfn.TEXTSPLIT(B251, """")</f>
        <v>#VALUE!</v>
      </c>
      <c r="F251" t="str" cm="1">
        <f t="array" ref="F251">IF(D251="","",_xldudf_A_ENTICON(D251))</f>
        <v/>
      </c>
      <c r="H251" t="s">
        <v>564</v>
      </c>
    </row>
    <row r="252" spans="2:8" x14ac:dyDescent="0.25">
      <c r="B252" s="3" t="s">
        <v>139</v>
      </c>
      <c r="C252" t="str" cm="1">
        <f t="array" ref="C252:E252">_xlfn.TEXTSPLIT(B252, """")</f>
        <v xml:space="preserve">dataScatter = </v>
      </c>
      <c r="D252" t="str">
        <v>DataScatter</v>
      </c>
      <c r="E252" t="str">
        <v/>
      </c>
      <c r="F252" t="e" cm="1" vm="130">
        <f t="array" ref="F252">IF(D252="","",_xldudf_A_ENTICON(D252))</f>
        <v>#VALUE!</v>
      </c>
      <c r="H252" t="s">
        <v>564</v>
      </c>
    </row>
    <row r="253" spans="2:8" x14ac:dyDescent="0.25">
      <c r="B253" s="3"/>
      <c r="C253" t="e" cm="1">
        <f t="array" ref="C253">_xlfn.TEXTSPLIT(B253, """")</f>
        <v>#VALUE!</v>
      </c>
      <c r="F253" t="str" cm="1">
        <f t="array" ref="F253">IF(D253="","",_xldudf_A_ENTICON(D253))</f>
        <v/>
      </c>
      <c r="H253" t="s">
        <v>564</v>
      </c>
    </row>
    <row r="254" spans="2:8" x14ac:dyDescent="0.25">
      <c r="B254" s="3" t="s">
        <v>140</v>
      </c>
      <c r="C254" t="str" cm="1">
        <f t="array" ref="C254:E254">_xlfn.TEXTSPLIT(B254, """")</f>
        <v xml:space="preserve">dataSunburst = </v>
      </c>
      <c r="D254" t="str">
        <v>DataSunburst</v>
      </c>
      <c r="E254" t="str">
        <v/>
      </c>
      <c r="F254" t="e" cm="1" vm="131">
        <f t="array" ref="F254">IF(D254="","",_xldudf_A_ENTICON(D254))</f>
        <v>#VALUE!</v>
      </c>
      <c r="H254" t="s">
        <v>564</v>
      </c>
    </row>
    <row r="255" spans="2:8" x14ac:dyDescent="0.25">
      <c r="B255" s="3"/>
      <c r="C255" t="e" cm="1">
        <f t="array" ref="C255">_xlfn.TEXTSPLIT(B255, """")</f>
        <v>#VALUE!</v>
      </c>
      <c r="F255" t="str" cm="1">
        <f t="array" ref="F255">IF(D255="","",_xldudf_A_ENTICON(D255))</f>
        <v/>
      </c>
      <c r="H255" t="s">
        <v>564</v>
      </c>
    </row>
    <row r="256" spans="2:8" x14ac:dyDescent="0.25">
      <c r="B256" s="3" t="s">
        <v>141</v>
      </c>
      <c r="C256" t="str" cm="1">
        <f t="array" ref="C256:E256">_xlfn.TEXTSPLIT(B256, """")</f>
        <v xml:space="preserve">dataTreemap = </v>
      </c>
      <c r="D256" t="str">
        <v>DataTreemap</v>
      </c>
      <c r="E256" t="str">
        <v/>
      </c>
      <c r="F256" t="e" cm="1" vm="132">
        <f t="array" ref="F256">IF(D256="","",_xldudf_A_ENTICON(D256))</f>
        <v>#VALUE!</v>
      </c>
      <c r="H256" t="s">
        <v>564</v>
      </c>
    </row>
    <row r="257" spans="2:8" x14ac:dyDescent="0.25">
      <c r="B257" s="3"/>
      <c r="C257" t="e" cm="1">
        <f t="array" ref="C257">_xlfn.TEXTSPLIT(B257, """")</f>
        <v>#VALUE!</v>
      </c>
      <c r="F257" t="str" cm="1">
        <f t="array" ref="F257">IF(D257="","",_xldudf_A_ENTICON(D257))</f>
        <v/>
      </c>
      <c r="H257" t="s">
        <v>564</v>
      </c>
    </row>
    <row r="258" spans="2:8" x14ac:dyDescent="0.25">
      <c r="B258" s="3" t="s">
        <v>142</v>
      </c>
      <c r="C258" t="str" cm="1">
        <f t="array" ref="C258:E258">_xlfn.TEXTSPLIT(B258, """")</f>
        <v xml:space="preserve">dataWaterfall = </v>
      </c>
      <c r="D258" t="str">
        <v>DataWaterfall</v>
      </c>
      <c r="E258" t="str">
        <v/>
      </c>
      <c r="F258" t="e" cm="1" vm="133">
        <f t="array" ref="F258">IF(D258="","",_xldudf_A_ENTICON(D258))</f>
        <v>#VALUE!</v>
      </c>
      <c r="H258" t="s">
        <v>564</v>
      </c>
    </row>
    <row r="259" spans="2:8" x14ac:dyDescent="0.25">
      <c r="B259" s="3"/>
      <c r="C259" t="e" cm="1">
        <f t="array" ref="C259">_xlfn.TEXTSPLIT(B259, """")</f>
        <v>#VALUE!</v>
      </c>
      <c r="F259" t="str" cm="1">
        <f t="array" ref="F259">IF(D259="","",_xldudf_A_ENTICON(D259))</f>
        <v/>
      </c>
      <c r="H259" t="s">
        <v>564</v>
      </c>
    </row>
    <row r="260" spans="2:8" x14ac:dyDescent="0.25">
      <c r="B260" s="3" t="s">
        <v>143</v>
      </c>
      <c r="C260" t="str" cm="1">
        <f t="array" ref="C260:E260">_xlfn.TEXTSPLIT(B260, """")</f>
        <v xml:space="preserve">dataWhisker = </v>
      </c>
      <c r="D260" t="str">
        <v>DataWhisker</v>
      </c>
      <c r="E260" t="str">
        <v/>
      </c>
      <c r="F260" t="e" cm="1" vm="134">
        <f t="array" ref="F260">IF(D260="","",_xldudf_A_ENTICON(D260))</f>
        <v>#VALUE!</v>
      </c>
      <c r="H260" t="s">
        <v>564</v>
      </c>
    </row>
    <row r="261" spans="2:8" x14ac:dyDescent="0.25">
      <c r="B261" s="3"/>
      <c r="C261" t="e" cm="1">
        <f t="array" ref="C261">_xlfn.TEXTSPLIT(B261, """")</f>
        <v>#VALUE!</v>
      </c>
      <c r="F261" t="str" cm="1">
        <f t="array" ref="F261">IF(D261="","",_xldudf_A_ENTICON(D261))</f>
        <v/>
      </c>
      <c r="H261" t="s">
        <v>564</v>
      </c>
    </row>
    <row r="262" spans="2:8" x14ac:dyDescent="0.25">
      <c r="B262" s="3" t="s">
        <v>144</v>
      </c>
      <c r="C262" t="str" cm="1">
        <f t="array" ref="C262:E262">_xlfn.TEXTSPLIT(B262, """")</f>
        <v xml:space="preserve">dentist = </v>
      </c>
      <c r="D262" t="str">
        <v>Dentist</v>
      </c>
      <c r="E262" t="str">
        <v/>
      </c>
      <c r="F262" t="e" cm="1" vm="135">
        <f t="array" ref="F262">IF(D262="","",_xldudf_A_ENTICON(D262))</f>
        <v>#VALUE!</v>
      </c>
      <c r="H262" t="s">
        <v>564</v>
      </c>
    </row>
    <row r="263" spans="2:8" x14ac:dyDescent="0.25">
      <c r="B263" s="3"/>
      <c r="C263" t="e" cm="1">
        <f t="array" ref="C263">_xlfn.TEXTSPLIT(B263, """")</f>
        <v>#VALUE!</v>
      </c>
      <c r="F263" t="str" cm="1">
        <f t="array" ref="F263">IF(D263="","",_xldudf_A_ENTICON(D263))</f>
        <v/>
      </c>
      <c r="H263" t="s">
        <v>564</v>
      </c>
    </row>
    <row r="264" spans="2:8" x14ac:dyDescent="0.25">
      <c r="B264" s="3" t="s">
        <v>145</v>
      </c>
      <c r="C264" t="str" cm="1">
        <f t="array" ref="C264:E264">_xlfn.TEXTSPLIT(B264, """")</f>
        <v xml:space="preserve">designIdeas = </v>
      </c>
      <c r="D264" t="str">
        <v>DesignIdeas</v>
      </c>
      <c r="E264" t="str">
        <v/>
      </c>
      <c r="F264" t="e" cm="1" vm="136">
        <f t="array" ref="F264">IF(D264="","",_xldudf_A_ENTICON(D264))</f>
        <v>#VALUE!</v>
      </c>
      <c r="H264" t="s">
        <v>564</v>
      </c>
    </row>
    <row r="265" spans="2:8" x14ac:dyDescent="0.25">
      <c r="B265" s="3"/>
      <c r="C265" t="e" cm="1">
        <f t="array" ref="C265">_xlfn.TEXTSPLIT(B265, """")</f>
        <v>#VALUE!</v>
      </c>
      <c r="F265" t="str" cm="1">
        <f t="array" ref="F265">IF(D265="","",_xldudf_A_ENTICON(D265))</f>
        <v/>
      </c>
      <c r="H265" t="s">
        <v>564</v>
      </c>
    </row>
    <row r="266" spans="2:8" x14ac:dyDescent="0.25">
      <c r="B266" s="3" t="s">
        <v>146</v>
      </c>
      <c r="C266" t="str" cm="1">
        <f t="array" ref="C266:E266">_xlfn.TEXTSPLIT(B266, """")</f>
        <v xml:space="preserve">desktop = </v>
      </c>
      <c r="D266" t="str">
        <v>Desktop</v>
      </c>
      <c r="E266" t="str">
        <v/>
      </c>
      <c r="F266" t="e" cm="1" vm="137">
        <f t="array" ref="F266">IF(D266="","",_xldudf_A_ENTICON(D266))</f>
        <v>#VALUE!</v>
      </c>
      <c r="H266" t="s">
        <v>564</v>
      </c>
    </row>
    <row r="267" spans="2:8" x14ac:dyDescent="0.25">
      <c r="B267" s="3"/>
      <c r="C267" t="e" cm="1">
        <f t="array" ref="C267">_xlfn.TEXTSPLIT(B267, """")</f>
        <v>#VALUE!</v>
      </c>
      <c r="F267" t="str" cm="1">
        <f t="array" ref="F267">IF(D267="","",_xldudf_A_ENTICON(D267))</f>
        <v/>
      </c>
      <c r="H267" t="s">
        <v>564</v>
      </c>
    </row>
    <row r="268" spans="2:8" x14ac:dyDescent="0.25">
      <c r="B268" s="3" t="s">
        <v>147</v>
      </c>
      <c r="C268" t="str" cm="1">
        <f t="array" ref="C268:E268">_xlfn.TEXTSPLIT(B268, """")</f>
        <v xml:space="preserve">desktopMac = </v>
      </c>
      <c r="D268" t="str">
        <v>DesktopMac</v>
      </c>
      <c r="E268" t="str">
        <v/>
      </c>
      <c r="F268" t="e" cm="1" vm="138">
        <f t="array" ref="F268">IF(D268="","",_xldudf_A_ENTICON(D268))</f>
        <v>#VALUE!</v>
      </c>
      <c r="H268" t="s">
        <v>564</v>
      </c>
    </row>
    <row r="269" spans="2:8" x14ac:dyDescent="0.25">
      <c r="B269" s="3"/>
      <c r="C269" t="e" cm="1">
        <f t="array" ref="C269">_xlfn.TEXTSPLIT(B269, """")</f>
        <v>#VALUE!</v>
      </c>
      <c r="F269" t="str" cm="1">
        <f t="array" ref="F269">IF(D269="","",_xldudf_A_ENTICON(D269))</f>
        <v/>
      </c>
      <c r="H269" t="s">
        <v>564</v>
      </c>
    </row>
    <row r="270" spans="2:8" x14ac:dyDescent="0.25">
      <c r="B270" s="3" t="s">
        <v>148</v>
      </c>
      <c r="C270" t="str" cm="1">
        <f t="array" ref="C270:E270">_xlfn.TEXTSPLIT(B270, """")</f>
        <v xml:space="preserve">developerBoard = </v>
      </c>
      <c r="D270" t="str">
        <v>DeveloperBoard</v>
      </c>
      <c r="E270" t="str">
        <v/>
      </c>
      <c r="F270" t="e" cm="1" vm="139">
        <f t="array" ref="F270">IF(D270="","",_xldudf_A_ENTICON(D270))</f>
        <v>#VALUE!</v>
      </c>
      <c r="H270" t="s">
        <v>564</v>
      </c>
    </row>
    <row r="271" spans="2:8" x14ac:dyDescent="0.25">
      <c r="B271" s="3"/>
      <c r="C271" t="e" cm="1">
        <f t="array" ref="C271">_xlfn.TEXTSPLIT(B271, """")</f>
        <v>#VALUE!</v>
      </c>
      <c r="F271" t="str" cm="1">
        <f t="array" ref="F271">IF(D271="","",_xldudf_A_ENTICON(D271))</f>
        <v/>
      </c>
      <c r="H271" t="s">
        <v>564</v>
      </c>
    </row>
    <row r="272" spans="2:8" x14ac:dyDescent="0.25">
      <c r="B272" s="3" t="s">
        <v>149</v>
      </c>
      <c r="C272" t="str" cm="1">
        <f t="array" ref="C272:E272">_xlfn.TEXTSPLIT(B272, """")</f>
        <v xml:space="preserve">deviceMeetingRoom = </v>
      </c>
      <c r="D272" t="str">
        <v>DeviceMeetingRoom</v>
      </c>
      <c r="E272" t="str">
        <v/>
      </c>
      <c r="F272" t="e" cm="1" vm="140">
        <f t="array" ref="F272">IF(D272="","",_xldudf_A_ENTICON(D272))</f>
        <v>#VALUE!</v>
      </c>
      <c r="H272" t="s">
        <v>564</v>
      </c>
    </row>
    <row r="273" spans="2:8" x14ac:dyDescent="0.25">
      <c r="B273" s="3"/>
      <c r="C273" t="e" cm="1">
        <f t="array" ref="C273">_xlfn.TEXTSPLIT(B273, """")</f>
        <v>#VALUE!</v>
      </c>
      <c r="F273" t="str" cm="1">
        <f t="array" ref="F273">IF(D273="","",_xldudf_A_ENTICON(D273))</f>
        <v/>
      </c>
      <c r="H273" t="s">
        <v>564</v>
      </c>
    </row>
    <row r="274" spans="2:8" x14ac:dyDescent="0.25">
      <c r="B274" s="3" t="s">
        <v>150</v>
      </c>
      <c r="C274" t="str" cm="1">
        <f t="array" ref="C274:E274">_xlfn.TEXTSPLIT(B274, """")</f>
        <v xml:space="preserve">diagram = </v>
      </c>
      <c r="D274" t="str">
        <v>Diagram</v>
      </c>
      <c r="E274" t="str">
        <v/>
      </c>
      <c r="F274" t="e" cm="1" vm="141">
        <f t="array" ref="F274">IF(D274="","",_xldudf_A_ENTICON(D274))</f>
        <v>#VALUE!</v>
      </c>
      <c r="H274" t="s">
        <v>564</v>
      </c>
    </row>
    <row r="275" spans="2:8" x14ac:dyDescent="0.25">
      <c r="B275" s="3"/>
      <c r="C275" t="e" cm="1">
        <f t="array" ref="C275">_xlfn.TEXTSPLIT(B275, """")</f>
        <v>#VALUE!</v>
      </c>
      <c r="F275" t="str" cm="1">
        <f t="array" ref="F275">IF(D275="","",_xldudf_A_ENTICON(D275))</f>
        <v/>
      </c>
      <c r="H275" t="s">
        <v>564</v>
      </c>
    </row>
    <row r="276" spans="2:8" x14ac:dyDescent="0.25">
      <c r="B276" s="3" t="s">
        <v>151</v>
      </c>
      <c r="C276" t="str" cm="1">
        <f t="array" ref="C276:E276">_xlfn.TEXTSPLIT(B276, """")</f>
        <v xml:space="preserve">dialpad = </v>
      </c>
      <c r="D276" t="str">
        <v>Dialpad</v>
      </c>
      <c r="E276" t="str">
        <v/>
      </c>
      <c r="F276" t="e" cm="1" vm="142">
        <f t="array" ref="F276">IF(D276="","",_xldudf_A_ENTICON(D276))</f>
        <v>#VALUE!</v>
      </c>
      <c r="H276" t="s">
        <v>564</v>
      </c>
    </row>
    <row r="277" spans="2:8" x14ac:dyDescent="0.25">
      <c r="B277" s="3"/>
      <c r="C277" t="e" cm="1">
        <f t="array" ref="C277">_xlfn.TEXTSPLIT(B277, """")</f>
        <v>#VALUE!</v>
      </c>
      <c r="F277" t="str" cm="1">
        <f t="array" ref="F277">IF(D277="","",_xldudf_A_ENTICON(D277))</f>
        <v/>
      </c>
      <c r="H277" t="s">
        <v>564</v>
      </c>
    </row>
    <row r="278" spans="2:8" x14ac:dyDescent="0.25">
      <c r="B278" s="3" t="s">
        <v>152</v>
      </c>
      <c r="C278" t="str" cm="1">
        <f t="array" ref="C278:E278">_xlfn.TEXTSPLIT(B278, """")</f>
        <v xml:space="preserve">diamond = </v>
      </c>
      <c r="D278" t="str">
        <v>Diamond</v>
      </c>
      <c r="E278" t="str">
        <v/>
      </c>
      <c r="F278" t="e" cm="1" vm="143">
        <f t="array" ref="F278">IF(D278="","",_xldudf_A_ENTICON(D278))</f>
        <v>#VALUE!</v>
      </c>
      <c r="H278" t="s">
        <v>564</v>
      </c>
    </row>
    <row r="279" spans="2:8" x14ac:dyDescent="0.25">
      <c r="B279" s="3"/>
      <c r="C279" t="e" cm="1">
        <f t="array" ref="C279">_xlfn.TEXTSPLIT(B279, """")</f>
        <v>#VALUE!</v>
      </c>
      <c r="F279" t="str" cm="1">
        <f t="array" ref="F279">IF(D279="","",_xldudf_A_ENTICON(D279))</f>
        <v/>
      </c>
      <c r="H279" t="s">
        <v>564</v>
      </c>
    </row>
    <row r="280" spans="2:8" x14ac:dyDescent="0.25">
      <c r="B280" s="3" t="s">
        <v>153</v>
      </c>
      <c r="C280" t="str" cm="1">
        <f t="array" ref="C280:E280">_xlfn.TEXTSPLIT(B280, """")</f>
        <v xml:space="preserve">dinosaur = </v>
      </c>
      <c r="D280" t="str">
        <v>Dinosaur</v>
      </c>
      <c r="E280" t="str">
        <v/>
      </c>
      <c r="F280" t="e" cm="1" vm="144">
        <f t="array" ref="F280">IF(D280="","",_xldudf_A_ENTICON(D280))</f>
        <v>#VALUE!</v>
      </c>
      <c r="H280" t="s">
        <v>564</v>
      </c>
    </row>
    <row r="281" spans="2:8" x14ac:dyDescent="0.25">
      <c r="B281" s="3"/>
      <c r="C281" t="e" cm="1">
        <f t="array" ref="C281">_xlfn.TEXTSPLIT(B281, """")</f>
        <v>#VALUE!</v>
      </c>
      <c r="F281" t="str" cm="1">
        <f t="array" ref="F281">IF(D281="","",_xldudf_A_ENTICON(D281))</f>
        <v/>
      </c>
      <c r="H281" t="s">
        <v>564</v>
      </c>
    </row>
    <row r="282" spans="2:8" x14ac:dyDescent="0.25">
      <c r="B282" s="3" t="s">
        <v>154</v>
      </c>
      <c r="C282" t="str" cm="1">
        <f t="array" ref="C282:E282">_xlfn.TEXTSPLIT(B282, """")</f>
        <v xml:space="preserve">directions = </v>
      </c>
      <c r="D282" t="str">
        <v>Directions</v>
      </c>
      <c r="E282" t="str">
        <v/>
      </c>
      <c r="F282" t="e" cm="1" vm="145">
        <f t="array" ref="F282">IF(D282="","",_xldudf_A_ENTICON(D282))</f>
        <v>#VALUE!</v>
      </c>
      <c r="H282" t="s">
        <v>564</v>
      </c>
    </row>
    <row r="283" spans="2:8" x14ac:dyDescent="0.25">
      <c r="B283" s="3"/>
      <c r="C283" t="e" cm="1">
        <f t="array" ref="C283">_xlfn.TEXTSPLIT(B283, """")</f>
        <v>#VALUE!</v>
      </c>
      <c r="F283" t="str" cm="1">
        <f t="array" ref="F283">IF(D283="","",_xldudf_A_ENTICON(D283))</f>
        <v/>
      </c>
      <c r="H283" t="s">
        <v>564</v>
      </c>
    </row>
    <row r="284" spans="2:8" x14ac:dyDescent="0.25">
      <c r="B284" s="3" t="s">
        <v>155</v>
      </c>
      <c r="C284" t="str" cm="1">
        <f t="array" ref="C284:E284">_xlfn.TEXTSPLIT(B284, """")</f>
        <v xml:space="preserve">disaster = </v>
      </c>
      <c r="D284" t="str">
        <v>Disaster</v>
      </c>
      <c r="E284" t="str">
        <v/>
      </c>
      <c r="F284" t="e" cm="1" vm="146">
        <f t="array" ref="F284">IF(D284="","",_xldudf_A_ENTICON(D284))</f>
        <v>#VALUE!</v>
      </c>
      <c r="H284" t="s">
        <v>564</v>
      </c>
    </row>
    <row r="285" spans="2:8" x14ac:dyDescent="0.25">
      <c r="B285" s="3"/>
      <c r="C285" t="e" cm="1">
        <f t="array" ref="C285">_xlfn.TEXTSPLIT(B285, """")</f>
        <v>#VALUE!</v>
      </c>
      <c r="F285" t="str" cm="1">
        <f t="array" ref="F285">IF(D285="","",_xldudf_A_ENTICON(D285))</f>
        <v/>
      </c>
      <c r="H285" t="s">
        <v>564</v>
      </c>
    </row>
    <row r="286" spans="2:8" x14ac:dyDescent="0.25">
      <c r="B286" s="3" t="s">
        <v>156</v>
      </c>
      <c r="C286" t="str" cm="1">
        <f t="array" ref="C286:E286">_xlfn.TEXTSPLIT(B286, """")</f>
        <v xml:space="preserve">diversity = </v>
      </c>
      <c r="D286" t="str">
        <v>Diversity</v>
      </c>
      <c r="E286" t="str">
        <v/>
      </c>
      <c r="F286" t="e" cm="1" vm="147">
        <f t="array" ref="F286">IF(D286="","",_xldudf_A_ENTICON(D286))</f>
        <v>#VALUE!</v>
      </c>
      <c r="H286" t="s">
        <v>564</v>
      </c>
    </row>
    <row r="287" spans="2:8" x14ac:dyDescent="0.25">
      <c r="B287" s="3"/>
      <c r="C287" t="e" cm="1">
        <f t="array" ref="C287">_xlfn.TEXTSPLIT(B287, """")</f>
        <v>#VALUE!</v>
      </c>
      <c r="F287" t="str" cm="1">
        <f t="array" ref="F287">IF(D287="","",_xldudf_A_ENTICON(D287))</f>
        <v/>
      </c>
      <c r="H287" t="s">
        <v>564</v>
      </c>
    </row>
    <row r="288" spans="2:8" x14ac:dyDescent="0.25">
      <c r="B288" s="3" t="s">
        <v>157</v>
      </c>
      <c r="C288" t="str" cm="1">
        <f t="array" ref="C288:E288">_xlfn.TEXTSPLIT(B288, """")</f>
        <v xml:space="preserve">dNA = </v>
      </c>
      <c r="D288" t="str">
        <v>DNA</v>
      </c>
      <c r="E288" t="str">
        <v/>
      </c>
      <c r="F288" t="e" cm="1" vm="148">
        <f t="array" ref="F288">IF(D288="","",_xldudf_A_ENTICON(D288))</f>
        <v>#VALUE!</v>
      </c>
      <c r="H288" t="s">
        <v>564</v>
      </c>
    </row>
    <row r="289" spans="2:8" x14ac:dyDescent="0.25">
      <c r="B289" s="3"/>
      <c r="C289" t="e" cm="1">
        <f t="array" ref="C289">_xlfn.TEXTSPLIT(B289, """")</f>
        <v>#VALUE!</v>
      </c>
      <c r="F289" t="str" cm="1">
        <f t="array" ref="F289">IF(D289="","",_xldudf_A_ENTICON(D289))</f>
        <v/>
      </c>
      <c r="H289" t="s">
        <v>564</v>
      </c>
    </row>
    <row r="290" spans="2:8" x14ac:dyDescent="0.25">
      <c r="B290" s="3" t="s">
        <v>158</v>
      </c>
      <c r="C290" t="str" cm="1">
        <f t="array" ref="C290:E290">_xlfn.TEXTSPLIT(B290, """")</f>
        <v xml:space="preserve">doctor = </v>
      </c>
      <c r="D290" t="str">
        <v>Doctor</v>
      </c>
      <c r="E290" t="str">
        <v/>
      </c>
      <c r="F290" t="e" cm="1" vm="149">
        <f t="array" ref="F290">IF(D290="","",_xldudf_A_ENTICON(D290))</f>
        <v>#VALUE!</v>
      </c>
      <c r="H290" t="s">
        <v>564</v>
      </c>
    </row>
    <row r="291" spans="2:8" x14ac:dyDescent="0.25">
      <c r="B291" s="3"/>
      <c r="C291" t="e" cm="1">
        <f t="array" ref="C291">_xlfn.TEXTSPLIT(B291, """")</f>
        <v>#VALUE!</v>
      </c>
      <c r="F291" t="str" cm="1">
        <f t="array" ref="F291">IF(D291="","",_xldudf_A_ENTICON(D291))</f>
        <v/>
      </c>
      <c r="H291" t="s">
        <v>564</v>
      </c>
    </row>
    <row r="292" spans="2:8" x14ac:dyDescent="0.25">
      <c r="B292" s="3" t="s">
        <v>159</v>
      </c>
      <c r="C292" t="str" cm="1">
        <f t="array" ref="C292:E292">_xlfn.TEXTSPLIT(B292, """")</f>
        <v xml:space="preserve">document = </v>
      </c>
      <c r="D292" t="str">
        <v>Document</v>
      </c>
      <c r="E292" t="str">
        <v/>
      </c>
      <c r="F292" t="e" cm="1" vm="150">
        <f t="array" ref="F292">IF(D292="","",_xldudf_A_ENTICON(D292))</f>
        <v>#VALUE!</v>
      </c>
      <c r="H292" t="s">
        <v>564</v>
      </c>
    </row>
    <row r="293" spans="2:8" x14ac:dyDescent="0.25">
      <c r="B293" s="3"/>
      <c r="C293" t="e" cm="1">
        <f t="array" ref="C293">_xlfn.TEXTSPLIT(B293, """")</f>
        <v>#VALUE!</v>
      </c>
      <c r="F293" t="str" cm="1">
        <f t="array" ref="F293">IF(D293="","",_xldudf_A_ENTICON(D293))</f>
        <v/>
      </c>
      <c r="H293" t="s">
        <v>564</v>
      </c>
    </row>
    <row r="294" spans="2:8" x14ac:dyDescent="0.25">
      <c r="B294" s="3" t="s">
        <v>160</v>
      </c>
      <c r="C294" t="str" cm="1">
        <f t="array" ref="C294:E294">_xlfn.TEXTSPLIT(B294, """")</f>
        <v xml:space="preserve">documentData = </v>
      </c>
      <c r="D294" t="str">
        <v>DocumentData</v>
      </c>
      <c r="E294" t="str">
        <v/>
      </c>
      <c r="F294" t="e" cm="1" vm="151">
        <f t="array" ref="F294">IF(D294="","",_xldudf_A_ENTICON(D294))</f>
        <v>#VALUE!</v>
      </c>
      <c r="H294" t="s">
        <v>564</v>
      </c>
    </row>
    <row r="295" spans="2:8" x14ac:dyDescent="0.25">
      <c r="B295" s="3"/>
      <c r="C295" t="e" cm="1">
        <f t="array" ref="C295">_xlfn.TEXTSPLIT(B295, """")</f>
        <v>#VALUE!</v>
      </c>
      <c r="F295" t="str" cm="1">
        <f t="array" ref="F295">IF(D295="","",_xldudf_A_ENTICON(D295))</f>
        <v/>
      </c>
      <c r="H295" t="s">
        <v>564</v>
      </c>
    </row>
    <row r="296" spans="2:8" x14ac:dyDescent="0.25">
      <c r="B296" s="3" t="s">
        <v>161</v>
      </c>
      <c r="C296" t="str" cm="1">
        <f t="array" ref="C296:E296">_xlfn.TEXTSPLIT(B296, """")</f>
        <v xml:space="preserve">documentLandscape = </v>
      </c>
      <c r="D296" t="str">
        <v>DocumentLandscape</v>
      </c>
      <c r="E296" t="str">
        <v/>
      </c>
      <c r="F296" t="e" cm="1" vm="152">
        <f t="array" ref="F296">IF(D296="","",_xldudf_A_ENTICON(D296))</f>
        <v>#VALUE!</v>
      </c>
      <c r="H296" t="s">
        <v>564</v>
      </c>
    </row>
    <row r="297" spans="2:8" x14ac:dyDescent="0.25">
      <c r="B297" s="3"/>
      <c r="C297" t="e" cm="1">
        <f t="array" ref="C297">_xlfn.TEXTSPLIT(B297, """")</f>
        <v>#VALUE!</v>
      </c>
      <c r="F297" t="str" cm="1">
        <f t="array" ref="F297">IF(D297="","",_xldudf_A_ENTICON(D297))</f>
        <v/>
      </c>
      <c r="H297" t="s">
        <v>564</v>
      </c>
    </row>
    <row r="298" spans="2:8" x14ac:dyDescent="0.25">
      <c r="B298" s="3" t="s">
        <v>162</v>
      </c>
      <c r="C298" t="str" cm="1">
        <f t="array" ref="C298:E298">_xlfn.TEXTSPLIT(B298, """")</f>
        <v xml:space="preserve">documentMultiple = </v>
      </c>
      <c r="D298" t="str">
        <v>DocumentMultiple</v>
      </c>
      <c r="E298" t="str">
        <v/>
      </c>
      <c r="F298" t="e" cm="1" vm="153">
        <f t="array" ref="F298">IF(D298="","",_xldudf_A_ENTICON(D298))</f>
        <v>#VALUE!</v>
      </c>
      <c r="H298" t="s">
        <v>564</v>
      </c>
    </row>
    <row r="299" spans="2:8" x14ac:dyDescent="0.25">
      <c r="B299" s="3"/>
      <c r="C299" t="e" cm="1">
        <f t="array" ref="C299">_xlfn.TEXTSPLIT(B299, """")</f>
        <v>#VALUE!</v>
      </c>
      <c r="F299" t="str" cm="1">
        <f t="array" ref="F299">IF(D299="","",_xldudf_A_ENTICON(D299))</f>
        <v/>
      </c>
      <c r="H299" t="s">
        <v>564</v>
      </c>
    </row>
    <row r="300" spans="2:8" x14ac:dyDescent="0.25">
      <c r="B300" s="3" t="s">
        <v>163</v>
      </c>
      <c r="C300" t="str" cm="1">
        <f t="array" ref="C300:E300">_xlfn.TEXTSPLIT(B300, """")</f>
        <v xml:space="preserve">documentPdf = </v>
      </c>
      <c r="D300" t="str">
        <v>DocumentPdf</v>
      </c>
      <c r="E300" t="str">
        <v/>
      </c>
      <c r="F300" t="e" cm="1" vm="154">
        <f t="array" ref="F300">IF(D300="","",_xldudf_A_ENTICON(D300))</f>
        <v>#VALUE!</v>
      </c>
      <c r="H300" t="s">
        <v>564</v>
      </c>
    </row>
    <row r="301" spans="2:8" x14ac:dyDescent="0.25">
      <c r="B301" s="3"/>
      <c r="C301" t="e" cm="1">
        <f t="array" ref="C301">_xlfn.TEXTSPLIT(B301, """")</f>
        <v>#VALUE!</v>
      </c>
      <c r="F301" t="str" cm="1">
        <f t="array" ref="F301">IF(D301="","",_xldudf_A_ENTICON(D301))</f>
        <v/>
      </c>
      <c r="H301" t="s">
        <v>564</v>
      </c>
    </row>
    <row r="302" spans="2:8" x14ac:dyDescent="0.25">
      <c r="B302" s="3" t="s">
        <v>164</v>
      </c>
      <c r="C302" t="str" cm="1">
        <f t="array" ref="C302:E302">_xlfn.TEXTSPLIT(B302, """")</f>
        <v xml:space="preserve">documentQueue = </v>
      </c>
      <c r="D302" t="str">
        <v>DocumentQueue</v>
      </c>
      <c r="E302" t="str">
        <v/>
      </c>
      <c r="F302" t="e" cm="1" vm="155">
        <f t="array" ref="F302">IF(D302="","",_xldudf_A_ENTICON(D302))</f>
        <v>#VALUE!</v>
      </c>
      <c r="H302" t="s">
        <v>564</v>
      </c>
    </row>
    <row r="303" spans="2:8" x14ac:dyDescent="0.25">
      <c r="B303" s="3"/>
      <c r="C303" t="e" cm="1">
        <f t="array" ref="C303">_xlfn.TEXTSPLIT(B303, """")</f>
        <v>#VALUE!</v>
      </c>
      <c r="F303" t="str" cm="1">
        <f t="array" ref="F303">IF(D303="","",_xldudf_A_ENTICON(D303))</f>
        <v/>
      </c>
      <c r="H303" t="s">
        <v>564</v>
      </c>
    </row>
    <row r="304" spans="2:8" x14ac:dyDescent="0.25">
      <c r="B304" s="3" t="s">
        <v>165</v>
      </c>
      <c r="C304" t="str" cm="1">
        <f t="array" ref="C304:E304">_xlfn.TEXTSPLIT(B304, """")</f>
        <v xml:space="preserve">documentText = </v>
      </c>
      <c r="D304" t="str">
        <v>DocumentText</v>
      </c>
      <c r="E304" t="str">
        <v/>
      </c>
      <c r="F304" t="e" cm="1" vm="156">
        <f t="array" ref="F304">IF(D304="","",_xldudf_A_ENTICON(D304))</f>
        <v>#VALUE!</v>
      </c>
      <c r="H304" t="s">
        <v>564</v>
      </c>
    </row>
    <row r="305" spans="2:8" x14ac:dyDescent="0.25">
      <c r="B305" s="3"/>
      <c r="C305" t="e" cm="1">
        <f t="array" ref="C305">_xlfn.TEXTSPLIT(B305, """")</f>
        <v>#VALUE!</v>
      </c>
      <c r="F305" t="str" cm="1">
        <f t="array" ref="F305">IF(D305="","",_xldudf_A_ENTICON(D305))</f>
        <v/>
      </c>
      <c r="H305" t="s">
        <v>564</v>
      </c>
    </row>
    <row r="306" spans="2:8" x14ac:dyDescent="0.25">
      <c r="B306" s="3" t="s">
        <v>166</v>
      </c>
      <c r="C306" t="str" cm="1">
        <f t="array" ref="C306:E306">_xlfn.TEXTSPLIT(B306, """")</f>
        <v xml:space="preserve">dog = </v>
      </c>
      <c r="D306" t="str">
        <v>Dog</v>
      </c>
      <c r="E306" t="str">
        <v/>
      </c>
      <c r="F306" t="e" cm="1" vm="157">
        <f t="array" ref="F306">IF(D306="","",_xldudf_A_ENTICON(D306))</f>
        <v>#VALUE!</v>
      </c>
      <c r="H306" t="s">
        <v>564</v>
      </c>
    </row>
    <row r="307" spans="2:8" x14ac:dyDescent="0.25">
      <c r="B307" s="3"/>
      <c r="C307" t="e" cm="1">
        <f t="array" ref="C307">_xlfn.TEXTSPLIT(B307, """")</f>
        <v>#VALUE!</v>
      </c>
      <c r="F307" t="str" cm="1">
        <f t="array" ref="F307">IF(D307="","",_xldudf_A_ENTICON(D307))</f>
        <v/>
      </c>
      <c r="H307" t="s">
        <v>564</v>
      </c>
    </row>
    <row r="308" spans="2:8" x14ac:dyDescent="0.25">
      <c r="B308" s="3" t="s">
        <v>167</v>
      </c>
      <c r="C308" t="str" cm="1">
        <f t="array" ref="C308:E308">_xlfn.TEXTSPLIT(B308, """")</f>
        <v xml:space="preserve">door = </v>
      </c>
      <c r="D308" t="str">
        <v>Door</v>
      </c>
      <c r="E308" t="str">
        <v/>
      </c>
      <c r="F308" t="e" cm="1" vm="158">
        <f t="array" ref="F308">IF(D308="","",_xldudf_A_ENTICON(D308))</f>
        <v>#VALUE!</v>
      </c>
      <c r="H308" t="s">
        <v>564</v>
      </c>
    </row>
    <row r="309" spans="2:8" x14ac:dyDescent="0.25">
      <c r="B309" s="3"/>
      <c r="C309" t="e" cm="1">
        <f t="array" ref="C309">_xlfn.TEXTSPLIT(B309, """")</f>
        <v>#VALUE!</v>
      </c>
      <c r="F309" t="str" cm="1">
        <f t="array" ref="F309">IF(D309="","",_xldudf_A_ENTICON(D309))</f>
        <v/>
      </c>
      <c r="H309" t="s">
        <v>564</v>
      </c>
    </row>
    <row r="310" spans="2:8" x14ac:dyDescent="0.25">
      <c r="B310" s="3" t="s">
        <v>168</v>
      </c>
      <c r="C310" t="str" cm="1">
        <f t="array" ref="C310:E310">_xlfn.TEXTSPLIT(B310, """")</f>
        <v xml:space="preserve">doorTag = </v>
      </c>
      <c r="D310" t="str">
        <v>DoorTag</v>
      </c>
      <c r="E310" t="str">
        <v/>
      </c>
      <c r="F310" t="e" cm="1" vm="159">
        <f t="array" ref="F310">IF(D310="","",_xldudf_A_ENTICON(D310))</f>
        <v>#VALUE!</v>
      </c>
      <c r="H310" t="s">
        <v>564</v>
      </c>
    </row>
    <row r="311" spans="2:8" x14ac:dyDescent="0.25">
      <c r="B311" s="3"/>
      <c r="C311" t="e" cm="1">
        <f t="array" ref="C311">_xlfn.TEXTSPLIT(B311, """")</f>
        <v>#VALUE!</v>
      </c>
      <c r="F311" t="str" cm="1">
        <f t="array" ref="F311">IF(D311="","",_xldudf_A_ENTICON(D311))</f>
        <v/>
      </c>
      <c r="H311" t="s">
        <v>564</v>
      </c>
    </row>
    <row r="312" spans="2:8" x14ac:dyDescent="0.25">
      <c r="B312" s="3" t="s">
        <v>169</v>
      </c>
      <c r="C312" t="str" cm="1">
        <f t="array" ref="C312:E312">_xlfn.TEXTSPLIT(B312, """")</f>
        <v xml:space="preserve">drafts = </v>
      </c>
      <c r="D312" t="str">
        <v>Drafts</v>
      </c>
      <c r="E312" t="str">
        <v/>
      </c>
      <c r="F312" t="e" cm="1" vm="160">
        <f t="array" ref="F312">IF(D312="","",_xldudf_A_ENTICON(D312))</f>
        <v>#VALUE!</v>
      </c>
      <c r="H312" t="s">
        <v>564</v>
      </c>
    </row>
    <row r="313" spans="2:8" x14ac:dyDescent="0.25">
      <c r="B313" s="3"/>
      <c r="C313" t="e" cm="1">
        <f t="array" ref="C313">_xlfn.TEXTSPLIT(B313, """")</f>
        <v>#VALUE!</v>
      </c>
      <c r="F313" t="str" cm="1">
        <f t="array" ref="F313">IF(D313="","",_xldudf_A_ENTICON(D313))</f>
        <v/>
      </c>
      <c r="H313" t="s">
        <v>564</v>
      </c>
    </row>
    <row r="314" spans="2:8" x14ac:dyDescent="0.25">
      <c r="B314" s="3" t="s">
        <v>170</v>
      </c>
      <c r="C314" t="str" cm="1">
        <f t="array" ref="C314:E314">_xlfn.TEXTSPLIT(B314, """")</f>
        <v xml:space="preserve">drama = </v>
      </c>
      <c r="D314" t="str">
        <v>Drama</v>
      </c>
      <c r="E314" t="str">
        <v/>
      </c>
      <c r="F314" t="e" cm="1" vm="161">
        <f t="array" ref="F314">IF(D314="","",_xldudf_A_ENTICON(D314))</f>
        <v>#VALUE!</v>
      </c>
      <c r="H314" t="s">
        <v>564</v>
      </c>
    </row>
    <row r="315" spans="2:8" x14ac:dyDescent="0.25">
      <c r="B315" s="3"/>
      <c r="C315" t="e" cm="1">
        <f t="array" ref="C315">_xlfn.TEXTSPLIT(B315, """")</f>
        <v>#VALUE!</v>
      </c>
      <c r="F315" t="str" cm="1">
        <f t="array" ref="F315">IF(D315="","",_xldudf_A_ENTICON(D315))</f>
        <v/>
      </c>
      <c r="H315" t="s">
        <v>564</v>
      </c>
    </row>
    <row r="316" spans="2:8" x14ac:dyDescent="0.25">
      <c r="B316" s="3" t="s">
        <v>171</v>
      </c>
      <c r="C316" t="str" cm="1">
        <f t="array" ref="C316:E316">_xlfn.TEXTSPLIT(B316, """")</f>
        <v xml:space="preserve">drinkBeer = </v>
      </c>
      <c r="D316" t="str">
        <v>DrinkBeer</v>
      </c>
      <c r="E316" t="str">
        <v/>
      </c>
      <c r="F316" t="e" cm="1" vm="162">
        <f t="array" ref="F316">IF(D316="","",_xldudf_A_ENTICON(D316))</f>
        <v>#VALUE!</v>
      </c>
      <c r="H316" t="s">
        <v>564</v>
      </c>
    </row>
    <row r="317" spans="2:8" x14ac:dyDescent="0.25">
      <c r="B317" s="3"/>
      <c r="C317" t="e" cm="1">
        <f t="array" ref="C317">_xlfn.TEXTSPLIT(B317, """")</f>
        <v>#VALUE!</v>
      </c>
      <c r="F317" t="str" cm="1">
        <f t="array" ref="F317">IF(D317="","",_xldudf_A_ENTICON(D317))</f>
        <v/>
      </c>
      <c r="H317" t="s">
        <v>564</v>
      </c>
    </row>
    <row r="318" spans="2:8" x14ac:dyDescent="0.25">
      <c r="B318" s="3" t="s">
        <v>172</v>
      </c>
      <c r="C318" t="str" cm="1">
        <f t="array" ref="C318:E318">_xlfn.TEXTSPLIT(B318, """")</f>
        <v xml:space="preserve">drinkCoffee = </v>
      </c>
      <c r="D318" t="str">
        <v>DrinkCoffee</v>
      </c>
      <c r="E318" t="str">
        <v/>
      </c>
      <c r="F318" t="e" cm="1" vm="163">
        <f t="array" ref="F318">IF(D318="","",_xldudf_A_ENTICON(D318))</f>
        <v>#VALUE!</v>
      </c>
      <c r="H318" t="s">
        <v>564</v>
      </c>
    </row>
    <row r="319" spans="2:8" x14ac:dyDescent="0.25">
      <c r="B319" s="3"/>
      <c r="C319" t="e" cm="1">
        <f t="array" ref="C319">_xlfn.TEXTSPLIT(B319, """")</f>
        <v>#VALUE!</v>
      </c>
      <c r="F319" t="str" cm="1">
        <f t="array" ref="F319">IF(D319="","",_xldudf_A_ENTICON(D319))</f>
        <v/>
      </c>
      <c r="H319" t="s">
        <v>564</v>
      </c>
    </row>
    <row r="320" spans="2:8" x14ac:dyDescent="0.25">
      <c r="B320" s="3" t="s">
        <v>173</v>
      </c>
      <c r="C320" t="str" cm="1">
        <f t="array" ref="C320:E320">_xlfn.TEXTSPLIT(B320, """")</f>
        <v xml:space="preserve">drinkMargarita = </v>
      </c>
      <c r="D320" t="str">
        <v>DrinkMargarita</v>
      </c>
      <c r="E320" t="str">
        <v/>
      </c>
      <c r="F320" t="e" cm="1" vm="164">
        <f t="array" ref="F320">IF(D320="","",_xldudf_A_ENTICON(D320))</f>
        <v>#VALUE!</v>
      </c>
      <c r="H320" t="s">
        <v>564</v>
      </c>
    </row>
    <row r="321" spans="2:8" x14ac:dyDescent="0.25">
      <c r="B321" s="3"/>
      <c r="C321" t="e" cm="1">
        <f t="array" ref="C321">_xlfn.TEXTSPLIT(B321, """")</f>
        <v>#VALUE!</v>
      </c>
      <c r="F321" t="str" cm="1">
        <f t="array" ref="F321">IF(D321="","",_xldudf_A_ENTICON(D321))</f>
        <v/>
      </c>
      <c r="H321" t="s">
        <v>564</v>
      </c>
    </row>
    <row r="322" spans="2:8" x14ac:dyDescent="0.25">
      <c r="B322" s="3" t="s">
        <v>174</v>
      </c>
      <c r="C322" t="str" cm="1">
        <f t="array" ref="C322:E322">_xlfn.TEXTSPLIT(B322, """")</f>
        <v xml:space="preserve">drinkToGo = </v>
      </c>
      <c r="D322" t="str">
        <v>DrinkToGo</v>
      </c>
      <c r="E322" t="str">
        <v/>
      </c>
      <c r="F322" t="e" cm="1" vm="165">
        <f t="array" ref="F322">IF(D322="","",_xldudf_A_ENTICON(D322))</f>
        <v>#VALUE!</v>
      </c>
      <c r="H322" t="s">
        <v>564</v>
      </c>
    </row>
    <row r="323" spans="2:8" x14ac:dyDescent="0.25">
      <c r="B323" s="3"/>
      <c r="C323" t="e" cm="1">
        <f t="array" ref="C323">_xlfn.TEXTSPLIT(B323, """")</f>
        <v>#VALUE!</v>
      </c>
      <c r="F323" t="str" cm="1">
        <f t="array" ref="F323">IF(D323="","",_xldudf_A_ENTICON(D323))</f>
        <v/>
      </c>
      <c r="H323" t="s">
        <v>564</v>
      </c>
    </row>
    <row r="324" spans="2:8" x14ac:dyDescent="0.25">
      <c r="B324" s="3" t="s">
        <v>175</v>
      </c>
      <c r="C324" t="str" cm="1">
        <f t="array" ref="C324:E324">_xlfn.TEXTSPLIT(B324, """")</f>
        <v xml:space="preserve">drinkWine = </v>
      </c>
      <c r="D324" t="str">
        <v>DrinkWine</v>
      </c>
      <c r="E324" t="str">
        <v/>
      </c>
      <c r="F324" t="e" cm="1" vm="166">
        <f t="array" ref="F324">IF(D324="","",_xldudf_A_ENTICON(D324))</f>
        <v>#VALUE!</v>
      </c>
      <c r="H324" t="s">
        <v>564</v>
      </c>
    </row>
    <row r="325" spans="2:8" x14ac:dyDescent="0.25">
      <c r="B325" s="3"/>
      <c r="C325" t="e" cm="1">
        <f t="array" ref="C325">_xlfn.TEXTSPLIT(B325, """")</f>
        <v>#VALUE!</v>
      </c>
      <c r="F325" t="str" cm="1">
        <f t="array" ref="F325">IF(D325="","",_xldudf_A_ENTICON(D325))</f>
        <v/>
      </c>
      <c r="H325" t="s">
        <v>564</v>
      </c>
    </row>
    <row r="326" spans="2:8" x14ac:dyDescent="0.25">
      <c r="B326" s="3" t="s">
        <v>176</v>
      </c>
      <c r="C326" t="str" cm="1">
        <f t="array" ref="C326:E326">_xlfn.TEXTSPLIT(B326, """")</f>
        <v xml:space="preserve">driveTrain = </v>
      </c>
      <c r="D326" t="str">
        <v>DriveTrain</v>
      </c>
      <c r="E326" t="str">
        <v/>
      </c>
      <c r="F326" t="e" cm="1" vm="167">
        <f t="array" ref="F326">IF(D326="","",_xldudf_A_ENTICON(D326))</f>
        <v>#VALUE!</v>
      </c>
      <c r="H326" t="s">
        <v>564</v>
      </c>
    </row>
    <row r="327" spans="2:8" x14ac:dyDescent="0.25">
      <c r="B327" s="3"/>
      <c r="C327" t="e" cm="1">
        <f t="array" ref="C327">_xlfn.TEXTSPLIT(B327, """")</f>
        <v>#VALUE!</v>
      </c>
      <c r="F327" t="str" cm="1">
        <f t="array" ref="F327">IF(D327="","",_xldudf_A_ENTICON(D327))</f>
        <v/>
      </c>
      <c r="H327" t="s">
        <v>564</v>
      </c>
    </row>
    <row r="328" spans="2:8" x14ac:dyDescent="0.25">
      <c r="B328" s="3" t="s">
        <v>177</v>
      </c>
      <c r="C328" t="str" cm="1">
        <f t="array" ref="C328:E328">_xlfn.TEXTSPLIT(B328, """")</f>
        <v xml:space="preserve">drop = </v>
      </c>
      <c r="D328" t="str">
        <v>Drop</v>
      </c>
      <c r="E328" t="str">
        <v/>
      </c>
      <c r="F328" t="e" cm="1" vm="168">
        <f t="array" ref="F328">IF(D328="","",_xldudf_A_ENTICON(D328))</f>
        <v>#VALUE!</v>
      </c>
      <c r="H328" t="s">
        <v>564</v>
      </c>
    </row>
    <row r="329" spans="2:8" x14ac:dyDescent="0.25">
      <c r="B329" s="3"/>
      <c r="C329" t="e" cm="1">
        <f t="array" ref="C329">_xlfn.TEXTSPLIT(B329, """")</f>
        <v>#VALUE!</v>
      </c>
      <c r="F329" t="str" cm="1">
        <f t="array" ref="F329">IF(D329="","",_xldudf_A_ENTICON(D329))</f>
        <v/>
      </c>
      <c r="H329" t="s">
        <v>564</v>
      </c>
    </row>
    <row r="330" spans="2:8" x14ac:dyDescent="0.25">
      <c r="B330" s="3" t="s">
        <v>178</v>
      </c>
      <c r="C330" t="str" cm="1">
        <f t="array" ref="C330:E330">_xlfn.TEXTSPLIT(B330, """")</f>
        <v xml:space="preserve">dualScreen = </v>
      </c>
      <c r="D330" t="str">
        <v>DualScreen</v>
      </c>
      <c r="E330" t="str">
        <v/>
      </c>
      <c r="F330" t="e" cm="1" vm="169">
        <f t="array" ref="F330">IF(D330="","",_xldudf_A_ENTICON(D330))</f>
        <v>#VALUE!</v>
      </c>
      <c r="H330" t="s">
        <v>564</v>
      </c>
    </row>
    <row r="331" spans="2:8" x14ac:dyDescent="0.25">
      <c r="B331" s="3"/>
      <c r="C331" t="e" cm="1">
        <f t="array" ref="C331">_xlfn.TEXTSPLIT(B331, """")</f>
        <v>#VALUE!</v>
      </c>
      <c r="F331" t="str" cm="1">
        <f t="array" ref="F331">IF(D331="","",_xldudf_A_ENTICON(D331))</f>
        <v/>
      </c>
      <c r="H331" t="s">
        <v>564</v>
      </c>
    </row>
    <row r="332" spans="2:8" x14ac:dyDescent="0.25">
      <c r="B332" s="3" t="s">
        <v>179</v>
      </c>
      <c r="C332" t="str" cm="1">
        <f t="array" ref="C332:E332">_xlfn.TEXTSPLIT(B332, """")</f>
        <v xml:space="preserve">dumbbell = </v>
      </c>
      <c r="D332" t="str">
        <v>Dumbbell</v>
      </c>
      <c r="E332" t="str">
        <v/>
      </c>
      <c r="F332" t="e" cm="1" vm="170">
        <f t="array" ref="F332">IF(D332="","",_xldudf_A_ENTICON(D332))</f>
        <v>#VALUE!</v>
      </c>
      <c r="H332" t="s">
        <v>564</v>
      </c>
    </row>
    <row r="333" spans="2:8" x14ac:dyDescent="0.25">
      <c r="B333" s="3"/>
      <c r="C333" t="e" cm="1">
        <f t="array" ref="C333">_xlfn.TEXTSPLIT(B333, """")</f>
        <v>#VALUE!</v>
      </c>
      <c r="F333" t="str" cm="1">
        <f t="array" ref="F333">IF(D333="","",_xldudf_A_ENTICON(D333))</f>
        <v/>
      </c>
      <c r="H333" t="s">
        <v>564</v>
      </c>
    </row>
    <row r="334" spans="2:8" x14ac:dyDescent="0.25">
      <c r="B334" s="3" t="s">
        <v>180</v>
      </c>
      <c r="C334" t="str" cm="1">
        <f t="array" ref="C334:E334">_xlfn.TEXTSPLIT(B334, """")</f>
        <v xml:space="preserve">earth = </v>
      </c>
      <c r="D334" t="str">
        <v>Earth</v>
      </c>
      <c r="E334" t="str">
        <v/>
      </c>
      <c r="F334" t="e" cm="1" vm="171">
        <f t="array" ref="F334">IF(D334="","",_xldudf_A_ENTICON(D334))</f>
        <v>#VALUE!</v>
      </c>
      <c r="H334" t="s">
        <v>564</v>
      </c>
    </row>
    <row r="335" spans="2:8" x14ac:dyDescent="0.25">
      <c r="B335" s="3"/>
      <c r="C335" t="e" cm="1">
        <f t="array" ref="C335">_xlfn.TEXTSPLIT(B335, """")</f>
        <v>#VALUE!</v>
      </c>
      <c r="F335" t="str" cm="1">
        <f t="array" ref="F335">IF(D335="","",_xldudf_A_ENTICON(D335))</f>
        <v/>
      </c>
      <c r="H335" t="s">
        <v>564</v>
      </c>
    </row>
    <row r="336" spans="2:8" x14ac:dyDescent="0.25">
      <c r="B336" s="3" t="s">
        <v>181</v>
      </c>
      <c r="C336" t="str" cm="1">
        <f t="array" ref="C336:E336">_xlfn.TEXTSPLIT(B336, """")</f>
        <v xml:space="preserve">emoji = </v>
      </c>
      <c r="D336" t="str">
        <v>Emoji</v>
      </c>
      <c r="E336" t="str">
        <v/>
      </c>
      <c r="F336" t="e" cm="1" vm="172">
        <f t="array" ref="F336">IF(D336="","",_xldudf_A_ENTICON(D336))</f>
        <v>#VALUE!</v>
      </c>
      <c r="H336" t="s">
        <v>564</v>
      </c>
    </row>
    <row r="337" spans="2:8" x14ac:dyDescent="0.25">
      <c r="B337" s="3"/>
      <c r="C337" t="e" cm="1">
        <f t="array" ref="C337">_xlfn.TEXTSPLIT(B337, """")</f>
        <v>#VALUE!</v>
      </c>
      <c r="F337" t="str" cm="1">
        <f t="array" ref="F337">IF(D337="","",_xldudf_A_ENTICON(D337))</f>
        <v/>
      </c>
      <c r="H337" t="s">
        <v>564</v>
      </c>
    </row>
    <row r="338" spans="2:8" x14ac:dyDescent="0.25">
      <c r="B338" s="3" t="s">
        <v>182</v>
      </c>
      <c r="C338" t="str" cm="1">
        <f t="array" ref="C338:E338">_xlfn.TEXTSPLIT(B338, """")</f>
        <v xml:space="preserve">emojiAngry = </v>
      </c>
      <c r="D338" t="str">
        <v>EmojiAngry</v>
      </c>
      <c r="E338" t="str">
        <v/>
      </c>
      <c r="F338" t="e" cm="1" vm="173">
        <f t="array" ref="F338">IF(D338="","",_xldudf_A_ENTICON(D338))</f>
        <v>#VALUE!</v>
      </c>
      <c r="H338" t="s">
        <v>564</v>
      </c>
    </row>
    <row r="339" spans="2:8" x14ac:dyDescent="0.25">
      <c r="B339" s="3"/>
      <c r="C339" t="e" cm="1">
        <f t="array" ref="C339">_xlfn.TEXTSPLIT(B339, """")</f>
        <v>#VALUE!</v>
      </c>
      <c r="F339" t="str" cm="1">
        <f t="array" ref="F339">IF(D339="","",_xldudf_A_ENTICON(D339))</f>
        <v/>
      </c>
      <c r="H339" t="s">
        <v>564</v>
      </c>
    </row>
    <row r="340" spans="2:8" x14ac:dyDescent="0.25">
      <c r="B340" s="3" t="s">
        <v>183</v>
      </c>
      <c r="C340" t="str" cm="1">
        <f t="array" ref="C340:E340">_xlfn.TEXTSPLIT(B340, """")</f>
        <v xml:space="preserve">emojiHand = </v>
      </c>
      <c r="D340" t="str">
        <v>EmojiHand</v>
      </c>
      <c r="E340" t="str">
        <v/>
      </c>
      <c r="F340" t="e" cm="1" vm="174">
        <f t="array" ref="F340">IF(D340="","",_xldudf_A_ENTICON(D340))</f>
        <v>#VALUE!</v>
      </c>
      <c r="H340" t="s">
        <v>564</v>
      </c>
    </row>
    <row r="341" spans="2:8" x14ac:dyDescent="0.25">
      <c r="B341" s="3"/>
      <c r="C341" t="e" cm="1">
        <f t="array" ref="C341">_xlfn.TEXTSPLIT(B341, """")</f>
        <v>#VALUE!</v>
      </c>
      <c r="F341" t="str" cm="1">
        <f t="array" ref="F341">IF(D341="","",_xldudf_A_ENTICON(D341))</f>
        <v/>
      </c>
      <c r="H341" t="s">
        <v>564</v>
      </c>
    </row>
    <row r="342" spans="2:8" x14ac:dyDescent="0.25">
      <c r="B342" s="3" t="s">
        <v>184</v>
      </c>
      <c r="C342" t="str" cm="1">
        <f t="array" ref="C342:E342">_xlfn.TEXTSPLIT(B342, """")</f>
        <v xml:space="preserve">emojiLaugh = </v>
      </c>
      <c r="D342" t="str">
        <v>EmojiLaugh</v>
      </c>
      <c r="E342" t="str">
        <v/>
      </c>
      <c r="F342" t="e" cm="1" vm="175">
        <f t="array" ref="F342">IF(D342="","",_xldudf_A_ENTICON(D342))</f>
        <v>#VALUE!</v>
      </c>
      <c r="H342" t="s">
        <v>564</v>
      </c>
    </row>
    <row r="343" spans="2:8" x14ac:dyDescent="0.25">
      <c r="B343" s="3"/>
      <c r="C343" t="e" cm="1">
        <f t="array" ref="C343">_xlfn.TEXTSPLIT(B343, """")</f>
        <v>#VALUE!</v>
      </c>
      <c r="F343" t="str" cm="1">
        <f t="array" ref="F343">IF(D343="","",_xldudf_A_ENTICON(D343))</f>
        <v/>
      </c>
      <c r="H343" t="s">
        <v>564</v>
      </c>
    </row>
    <row r="344" spans="2:8" x14ac:dyDescent="0.25">
      <c r="B344" s="3" t="s">
        <v>185</v>
      </c>
      <c r="C344" t="str" cm="1">
        <f t="array" ref="C344:E344">_xlfn.TEXTSPLIT(B344, """")</f>
        <v xml:space="preserve">emojiMeh = </v>
      </c>
      <c r="D344" t="str">
        <v>EmojiMeh</v>
      </c>
      <c r="E344" t="str">
        <v/>
      </c>
      <c r="F344" t="e" cm="1" vm="176">
        <f t="array" ref="F344">IF(D344="","",_xldudf_A_ENTICON(D344))</f>
        <v>#VALUE!</v>
      </c>
      <c r="H344" t="s">
        <v>564</v>
      </c>
    </row>
    <row r="345" spans="2:8" x14ac:dyDescent="0.25">
      <c r="B345" s="3"/>
      <c r="C345" t="e" cm="1">
        <f t="array" ref="C345">_xlfn.TEXTSPLIT(B345, """")</f>
        <v>#VALUE!</v>
      </c>
      <c r="F345" t="str" cm="1">
        <f t="array" ref="F345">IF(D345="","",_xldudf_A_ENTICON(D345))</f>
        <v/>
      </c>
      <c r="H345" t="s">
        <v>564</v>
      </c>
    </row>
    <row r="346" spans="2:8" x14ac:dyDescent="0.25">
      <c r="B346" s="3" t="s">
        <v>186</v>
      </c>
      <c r="C346" t="str" cm="1">
        <f t="array" ref="C346:E346">_xlfn.TEXTSPLIT(B346, """")</f>
        <v xml:space="preserve">emojiMultiple = </v>
      </c>
      <c r="D346" t="str">
        <v>EmojiMultiple</v>
      </c>
      <c r="E346" t="str">
        <v/>
      </c>
      <c r="F346" t="e" cm="1" vm="177">
        <f t="array" ref="F346">IF(D346="","",_xldudf_A_ENTICON(D346))</f>
        <v>#VALUE!</v>
      </c>
      <c r="H346" t="s">
        <v>564</v>
      </c>
    </row>
    <row r="347" spans="2:8" x14ac:dyDescent="0.25">
      <c r="B347" s="3"/>
      <c r="C347" t="e" cm="1">
        <f t="array" ref="C347">_xlfn.TEXTSPLIT(B347, """")</f>
        <v>#VALUE!</v>
      </c>
      <c r="F347" t="str" cm="1">
        <f t="array" ref="F347">IF(D347="","",_xldudf_A_ENTICON(D347))</f>
        <v/>
      </c>
      <c r="H347" t="s">
        <v>564</v>
      </c>
    </row>
    <row r="348" spans="2:8" x14ac:dyDescent="0.25">
      <c r="B348" s="3" t="s">
        <v>187</v>
      </c>
      <c r="C348" t="str" cm="1">
        <f t="array" ref="C348:E348">_xlfn.TEXTSPLIT(B348, """")</f>
        <v xml:space="preserve">emojiSad = </v>
      </c>
      <c r="D348" t="str">
        <v>EmojiSad</v>
      </c>
      <c r="E348" t="str">
        <v/>
      </c>
      <c r="F348" t="e" cm="1" vm="178">
        <f t="array" ref="F348">IF(D348="","",_xldudf_A_ENTICON(D348))</f>
        <v>#VALUE!</v>
      </c>
      <c r="H348" t="s">
        <v>564</v>
      </c>
    </row>
    <row r="349" spans="2:8" x14ac:dyDescent="0.25">
      <c r="B349" s="3"/>
      <c r="C349" t="e" cm="1">
        <f t="array" ref="C349">_xlfn.TEXTSPLIT(B349, """")</f>
        <v>#VALUE!</v>
      </c>
      <c r="F349" t="str" cm="1">
        <f t="array" ref="F349">IF(D349="","",_xldudf_A_ENTICON(D349))</f>
        <v/>
      </c>
      <c r="H349" t="s">
        <v>564</v>
      </c>
    </row>
    <row r="350" spans="2:8" x14ac:dyDescent="0.25">
      <c r="B350" s="3" t="s">
        <v>188</v>
      </c>
      <c r="C350" t="str" cm="1">
        <f t="array" ref="C350:E350">_xlfn.TEXTSPLIT(B350, """")</f>
        <v xml:space="preserve">emojiSadSlight = </v>
      </c>
      <c r="D350" t="str">
        <v>EmojiSadSlight</v>
      </c>
      <c r="E350" t="str">
        <v/>
      </c>
      <c r="F350" t="e" cm="1" vm="179">
        <f t="array" ref="F350">IF(D350="","",_xldudf_A_ENTICON(D350))</f>
        <v>#VALUE!</v>
      </c>
      <c r="H350" t="s">
        <v>564</v>
      </c>
    </row>
    <row r="351" spans="2:8" x14ac:dyDescent="0.25">
      <c r="B351" s="3"/>
      <c r="C351" t="e" cm="1">
        <f t="array" ref="C351">_xlfn.TEXTSPLIT(B351, """")</f>
        <v>#VALUE!</v>
      </c>
      <c r="F351" t="str" cm="1">
        <f t="array" ref="F351">IF(D351="","",_xldudf_A_ENTICON(D351))</f>
        <v/>
      </c>
      <c r="H351" t="s">
        <v>564</v>
      </c>
    </row>
    <row r="352" spans="2:8" x14ac:dyDescent="0.25">
      <c r="B352" s="3" t="s">
        <v>189</v>
      </c>
      <c r="C352" t="str" cm="1">
        <f t="array" ref="C352:E352">_xlfn.TEXTSPLIT(B352, """")</f>
        <v xml:space="preserve">emojiSmileSlight = </v>
      </c>
      <c r="D352" t="str">
        <v>EmojiSmileSlight</v>
      </c>
      <c r="E352" t="str">
        <v/>
      </c>
      <c r="F352" t="e" cm="1" vm="180">
        <f t="array" ref="F352">IF(D352="","",_xldudf_A_ENTICON(D352))</f>
        <v>#VALUE!</v>
      </c>
      <c r="H352" t="s">
        <v>564</v>
      </c>
    </row>
    <row r="353" spans="2:8" x14ac:dyDescent="0.25">
      <c r="B353" s="3"/>
      <c r="C353" t="e" cm="1">
        <f t="array" ref="C353">_xlfn.TEXTSPLIT(B353, """")</f>
        <v>#VALUE!</v>
      </c>
      <c r="F353" t="str" cm="1">
        <f t="array" ref="F353">IF(D353="","",_xldudf_A_ENTICON(D353))</f>
        <v/>
      </c>
      <c r="H353" t="s">
        <v>564</v>
      </c>
    </row>
    <row r="354" spans="2:8" x14ac:dyDescent="0.25">
      <c r="B354" s="3" t="s">
        <v>190</v>
      </c>
      <c r="C354" t="str" cm="1">
        <f t="array" ref="C354:E354">_xlfn.TEXTSPLIT(B354, """")</f>
        <v xml:space="preserve">emojiSparkle = </v>
      </c>
      <c r="D354" t="str">
        <v>EmojiSparkle</v>
      </c>
      <c r="E354" t="str">
        <v/>
      </c>
      <c r="F354" t="e" cm="1" vm="181">
        <f t="array" ref="F354">IF(D354="","",_xldudf_A_ENTICON(D354))</f>
        <v>#VALUE!</v>
      </c>
      <c r="H354" t="s">
        <v>564</v>
      </c>
    </row>
    <row r="355" spans="2:8" x14ac:dyDescent="0.25">
      <c r="B355" s="3"/>
      <c r="C355" t="e" cm="1">
        <f t="array" ref="C355">_xlfn.TEXTSPLIT(B355, """")</f>
        <v>#VALUE!</v>
      </c>
      <c r="F355" t="str" cm="1">
        <f t="array" ref="F355">IF(D355="","",_xldudf_A_ENTICON(D355))</f>
        <v/>
      </c>
      <c r="H355" t="s">
        <v>564</v>
      </c>
    </row>
    <row r="356" spans="2:8" x14ac:dyDescent="0.25">
      <c r="B356" s="3" t="s">
        <v>191</v>
      </c>
      <c r="C356" t="str" cm="1">
        <f t="array" ref="C356:E356">_xlfn.TEXTSPLIT(B356, """")</f>
        <v xml:space="preserve">emojiSurprise = </v>
      </c>
      <c r="D356" t="str">
        <v>EmojiSurprise</v>
      </c>
      <c r="E356" t="str">
        <v/>
      </c>
      <c r="F356" t="e" cm="1" vm="182">
        <f t="array" ref="F356">IF(D356="","",_xldudf_A_ENTICON(D356))</f>
        <v>#VALUE!</v>
      </c>
      <c r="H356" t="s">
        <v>564</v>
      </c>
    </row>
    <row r="357" spans="2:8" x14ac:dyDescent="0.25">
      <c r="B357" s="3"/>
      <c r="C357" t="e" cm="1">
        <f t="array" ref="C357">_xlfn.TEXTSPLIT(B357, """")</f>
        <v>#VALUE!</v>
      </c>
      <c r="F357" t="str" cm="1">
        <f t="array" ref="F357">IF(D357="","",_xldudf_A_ENTICON(D357))</f>
        <v/>
      </c>
      <c r="H357" t="s">
        <v>564</v>
      </c>
    </row>
    <row r="358" spans="2:8" x14ac:dyDescent="0.25">
      <c r="B358" s="3" t="s">
        <v>192</v>
      </c>
      <c r="C358" t="str" cm="1">
        <f t="array" ref="C358:E358">_xlfn.TEXTSPLIT(B358, """")</f>
        <v xml:space="preserve">engine = </v>
      </c>
      <c r="D358" t="str">
        <v>Engine</v>
      </c>
      <c r="E358" t="str">
        <v/>
      </c>
      <c r="F358" t="e" cm="1" vm="183">
        <f t="array" ref="F358">IF(D358="","",_xldudf_A_ENTICON(D358))</f>
        <v>#VALUE!</v>
      </c>
      <c r="H358" t="s">
        <v>564</v>
      </c>
    </row>
    <row r="359" spans="2:8" x14ac:dyDescent="0.25">
      <c r="B359" s="3"/>
      <c r="C359" t="e" cm="1">
        <f t="array" ref="C359">_xlfn.TEXTSPLIT(B359, """")</f>
        <v>#VALUE!</v>
      </c>
      <c r="F359" t="str" cm="1">
        <f t="array" ref="F359">IF(D359="","",_xldudf_A_ENTICON(D359))</f>
        <v/>
      </c>
      <c r="H359" t="s">
        <v>564</v>
      </c>
    </row>
    <row r="360" spans="2:8" x14ac:dyDescent="0.25">
      <c r="B360" s="3" t="s">
        <v>193</v>
      </c>
      <c r="C360" t="str" cm="1">
        <f t="array" ref="C360:E360">_xlfn.TEXTSPLIT(B360, """")</f>
        <v xml:space="preserve">eraser = </v>
      </c>
      <c r="D360" t="str">
        <v>Eraser</v>
      </c>
      <c r="E360" t="str">
        <v/>
      </c>
      <c r="F360" t="e" cm="1" vm="184">
        <f t="array" ref="F360">IF(D360="","",_xldudf_A_ENTICON(D360))</f>
        <v>#VALUE!</v>
      </c>
      <c r="H360" t="s">
        <v>564</v>
      </c>
    </row>
    <row r="361" spans="2:8" x14ac:dyDescent="0.25">
      <c r="B361" s="3"/>
      <c r="C361" t="e" cm="1">
        <f t="array" ref="C361">_xlfn.TEXTSPLIT(B361, """")</f>
        <v>#VALUE!</v>
      </c>
      <c r="F361" t="str" cm="1">
        <f t="array" ref="F361">IF(D361="","",_xldudf_A_ENTICON(D361))</f>
        <v/>
      </c>
      <c r="H361" t="s">
        <v>564</v>
      </c>
    </row>
    <row r="362" spans="2:8" x14ac:dyDescent="0.25">
      <c r="B362" s="3" t="s">
        <v>194</v>
      </c>
      <c r="C362" t="str" cm="1">
        <f t="array" ref="C362:E362">_xlfn.TEXTSPLIT(B362, """")</f>
        <v xml:space="preserve">eye = </v>
      </c>
      <c r="D362" t="str">
        <v>Eye</v>
      </c>
      <c r="E362" t="str">
        <v/>
      </c>
      <c r="F362" t="e" cm="1" vm="185">
        <f t="array" ref="F362">IF(D362="","",_xldudf_A_ENTICON(D362))</f>
        <v>#VALUE!</v>
      </c>
      <c r="H362" t="s">
        <v>564</v>
      </c>
    </row>
    <row r="363" spans="2:8" x14ac:dyDescent="0.25">
      <c r="B363" s="3"/>
      <c r="C363" t="e" cm="1">
        <f t="array" ref="C363">_xlfn.TEXTSPLIT(B363, """")</f>
        <v>#VALUE!</v>
      </c>
      <c r="F363" t="str" cm="1">
        <f t="array" ref="F363">IF(D363="","",_xldudf_A_ENTICON(D363))</f>
        <v/>
      </c>
      <c r="H363" t="s">
        <v>564</v>
      </c>
    </row>
    <row r="364" spans="2:8" x14ac:dyDescent="0.25">
      <c r="B364" s="3" t="s">
        <v>195</v>
      </c>
      <c r="C364" t="str" cm="1">
        <f t="array" ref="C364:E364">_xlfn.TEXTSPLIT(B364, """")</f>
        <v xml:space="preserve">eyedropper = </v>
      </c>
      <c r="D364" t="str">
        <v>Eyedropper</v>
      </c>
      <c r="E364" t="str">
        <v/>
      </c>
      <c r="F364" t="e" cm="1" vm="186">
        <f t="array" ref="F364">IF(D364="","",_xldudf_A_ENTICON(D364))</f>
        <v>#VALUE!</v>
      </c>
      <c r="H364" t="s">
        <v>564</v>
      </c>
    </row>
    <row r="365" spans="2:8" x14ac:dyDescent="0.25">
      <c r="B365" s="3"/>
      <c r="C365" t="e" cm="1">
        <f t="array" ref="C365">_xlfn.TEXTSPLIT(B365, """")</f>
        <v>#VALUE!</v>
      </c>
      <c r="F365" t="str" cm="1">
        <f t="array" ref="F365">IF(D365="","",_xldudf_A_ENTICON(D365))</f>
        <v/>
      </c>
      <c r="H365" t="s">
        <v>564</v>
      </c>
    </row>
    <row r="366" spans="2:8" x14ac:dyDescent="0.25">
      <c r="B366" s="3" t="s">
        <v>196</v>
      </c>
      <c r="C366" t="str" cm="1">
        <f t="array" ref="C366:E366">_xlfn.TEXTSPLIT(B366, """")</f>
        <v xml:space="preserve">fax = </v>
      </c>
      <c r="D366" t="str">
        <v>Fax</v>
      </c>
      <c r="E366" t="str">
        <v/>
      </c>
      <c r="F366" t="e" cm="1" vm="187">
        <f t="array" ref="F366">IF(D366="","",_xldudf_A_ENTICON(D366))</f>
        <v>#VALUE!</v>
      </c>
      <c r="H366" t="s">
        <v>564</v>
      </c>
    </row>
    <row r="367" spans="2:8" x14ac:dyDescent="0.25">
      <c r="B367" s="3"/>
      <c r="C367" t="e" cm="1">
        <f t="array" ref="C367">_xlfn.TEXTSPLIT(B367, """")</f>
        <v>#VALUE!</v>
      </c>
      <c r="F367" t="str" cm="1">
        <f t="array" ref="F367">IF(D367="","",_xldudf_A_ENTICON(D367))</f>
        <v/>
      </c>
      <c r="H367" t="s">
        <v>564</v>
      </c>
    </row>
    <row r="368" spans="2:8" x14ac:dyDescent="0.25">
      <c r="B368" s="3" t="s">
        <v>197</v>
      </c>
      <c r="C368" t="str" cm="1">
        <f t="array" ref="C368:E368">_xlfn.TEXTSPLIT(B368, """")</f>
        <v xml:space="preserve">fingerprint = </v>
      </c>
      <c r="D368" t="str">
        <v>Fingerprint</v>
      </c>
      <c r="E368" t="str">
        <v/>
      </c>
      <c r="F368" t="e" cm="1" vm="188">
        <f t="array" ref="F368">IF(D368="","",_xldudf_A_ENTICON(D368))</f>
        <v>#VALUE!</v>
      </c>
      <c r="H368" t="s">
        <v>564</v>
      </c>
    </row>
    <row r="369" spans="2:8" x14ac:dyDescent="0.25">
      <c r="B369" s="3"/>
      <c r="C369" t="e" cm="1">
        <f t="array" ref="C369">_xlfn.TEXTSPLIT(B369, """")</f>
        <v>#VALUE!</v>
      </c>
      <c r="F369" t="str" cm="1">
        <f t="array" ref="F369">IF(D369="","",_xldudf_A_ENTICON(D369))</f>
        <v/>
      </c>
      <c r="H369" t="s">
        <v>564</v>
      </c>
    </row>
    <row r="370" spans="2:8" x14ac:dyDescent="0.25">
      <c r="B370" s="3" t="s">
        <v>198</v>
      </c>
      <c r="C370" t="str" cm="1">
        <f t="array" ref="C370:E370">_xlfn.TEXTSPLIT(B370, """")</f>
        <v xml:space="preserve">firstAid = </v>
      </c>
      <c r="D370" t="str">
        <v>FirstAid</v>
      </c>
      <c r="E370" t="str">
        <v/>
      </c>
      <c r="F370" t="e" cm="1" vm="189">
        <f t="array" ref="F370">IF(D370="","",_xldudf_A_ENTICON(D370))</f>
        <v>#VALUE!</v>
      </c>
      <c r="H370" t="s">
        <v>564</v>
      </c>
    </row>
    <row r="371" spans="2:8" x14ac:dyDescent="0.25">
      <c r="B371" s="3"/>
      <c r="C371" t="e" cm="1">
        <f t="array" ref="C371">_xlfn.TEXTSPLIT(B371, """")</f>
        <v>#VALUE!</v>
      </c>
      <c r="F371" t="str" cm="1">
        <f t="array" ref="F371">IF(D371="","",_xldudf_A_ENTICON(D371))</f>
        <v/>
      </c>
      <c r="H371" t="s">
        <v>564</v>
      </c>
    </row>
    <row r="372" spans="2:8" x14ac:dyDescent="0.25">
      <c r="B372" s="3" t="s">
        <v>199</v>
      </c>
      <c r="C372" t="str" cm="1">
        <f t="array" ref="C372:E372">_xlfn.TEXTSPLIT(B372, """")</f>
        <v xml:space="preserve">flag = </v>
      </c>
      <c r="D372" t="str">
        <v>Flag</v>
      </c>
      <c r="E372" t="str">
        <v/>
      </c>
      <c r="F372" t="e" cm="1" vm="190">
        <f t="array" ref="F372">IF(D372="","",_xldudf_A_ENTICON(D372))</f>
        <v>#VALUE!</v>
      </c>
      <c r="H372" t="s">
        <v>564</v>
      </c>
    </row>
    <row r="373" spans="2:8" x14ac:dyDescent="0.25">
      <c r="B373" s="3"/>
      <c r="C373" t="e" cm="1">
        <f t="array" ref="C373">_xlfn.TEXTSPLIT(B373, """")</f>
        <v>#VALUE!</v>
      </c>
      <c r="F373" t="str" cm="1">
        <f t="array" ref="F373">IF(D373="","",_xldudf_A_ENTICON(D373))</f>
        <v/>
      </c>
      <c r="H373" t="s">
        <v>564</v>
      </c>
    </row>
    <row r="374" spans="2:8" x14ac:dyDescent="0.25">
      <c r="B374" s="3" t="s">
        <v>200</v>
      </c>
      <c r="C374" t="str" cm="1">
        <f t="array" ref="C374:E374">_xlfn.TEXTSPLIT(B374, """")</f>
        <v xml:space="preserve">flash = </v>
      </c>
      <c r="D374" t="str">
        <v>Flash</v>
      </c>
      <c r="E374" t="str">
        <v/>
      </c>
      <c r="F374" t="e" cm="1" vm="191">
        <f t="array" ref="F374">IF(D374="","",_xldudf_A_ENTICON(D374))</f>
        <v>#VALUE!</v>
      </c>
      <c r="H374" t="s">
        <v>564</v>
      </c>
    </row>
    <row r="375" spans="2:8" x14ac:dyDescent="0.25">
      <c r="B375" s="3"/>
      <c r="C375" t="e" cm="1">
        <f t="array" ref="C375">_xlfn.TEXTSPLIT(B375, """")</f>
        <v>#VALUE!</v>
      </c>
      <c r="F375" t="str" cm="1">
        <f t="array" ref="F375">IF(D375="","",_xldudf_A_ENTICON(D375))</f>
        <v/>
      </c>
      <c r="H375" t="s">
        <v>564</v>
      </c>
    </row>
    <row r="376" spans="2:8" x14ac:dyDescent="0.25">
      <c r="B376" s="3" t="s">
        <v>201</v>
      </c>
      <c r="C376" t="str" cm="1">
        <f t="array" ref="C376:E376">_xlfn.TEXTSPLIT(B376, """")</f>
        <v xml:space="preserve">flashlight = </v>
      </c>
      <c r="D376" t="str">
        <v>Flashlight</v>
      </c>
      <c r="E376" t="str">
        <v/>
      </c>
      <c r="F376" t="e" cm="1" vm="192">
        <f t="array" ref="F376">IF(D376="","",_xldudf_A_ENTICON(D376))</f>
        <v>#VALUE!</v>
      </c>
      <c r="H376" t="s">
        <v>564</v>
      </c>
    </row>
    <row r="377" spans="2:8" x14ac:dyDescent="0.25">
      <c r="B377" s="3"/>
      <c r="C377" t="e" cm="1">
        <f t="array" ref="C377">_xlfn.TEXTSPLIT(B377, """")</f>
        <v>#VALUE!</v>
      </c>
      <c r="F377" t="str" cm="1">
        <f t="array" ref="F377">IF(D377="","",_xldudf_A_ENTICON(D377))</f>
        <v/>
      </c>
      <c r="H377" t="s">
        <v>564</v>
      </c>
    </row>
    <row r="378" spans="2:8" x14ac:dyDescent="0.25">
      <c r="B378" s="3" t="s">
        <v>202</v>
      </c>
      <c r="C378" t="str" cm="1">
        <f t="array" ref="C378:E378">_xlfn.TEXTSPLIT(B378, """")</f>
        <v xml:space="preserve">flow = </v>
      </c>
      <c r="D378" t="str">
        <v>Flow</v>
      </c>
      <c r="E378" t="str">
        <v/>
      </c>
      <c r="F378" t="e" cm="1" vm="193">
        <f t="array" ref="F378">IF(D378="","",_xldudf_A_ENTICON(D378))</f>
        <v>#VALUE!</v>
      </c>
      <c r="H378" t="s">
        <v>564</v>
      </c>
    </row>
    <row r="379" spans="2:8" x14ac:dyDescent="0.25">
      <c r="B379" s="3"/>
      <c r="C379" t="e" cm="1">
        <f t="array" ref="C379">_xlfn.TEXTSPLIT(B379, """")</f>
        <v>#VALUE!</v>
      </c>
      <c r="F379" t="str" cm="1">
        <f t="array" ref="F379">IF(D379="","",_xldudf_A_ENTICON(D379))</f>
        <v/>
      </c>
      <c r="H379" t="s">
        <v>564</v>
      </c>
    </row>
    <row r="380" spans="2:8" x14ac:dyDescent="0.25">
      <c r="B380" s="3" t="s">
        <v>203</v>
      </c>
      <c r="C380" t="str" cm="1">
        <f t="array" ref="C380:E380">_xlfn.TEXTSPLIT(B380, """")</f>
        <v xml:space="preserve">flowchart = </v>
      </c>
      <c r="D380" t="str">
        <v>Flowchart</v>
      </c>
      <c r="E380" t="str">
        <v/>
      </c>
      <c r="F380" t="e" cm="1" vm="194">
        <f t="array" ref="F380">IF(D380="","",_xldudf_A_ENTICON(D380))</f>
        <v>#VALUE!</v>
      </c>
      <c r="H380" t="s">
        <v>564</v>
      </c>
    </row>
    <row r="381" spans="2:8" x14ac:dyDescent="0.25">
      <c r="B381" s="3"/>
      <c r="C381" t="e" cm="1">
        <f t="array" ref="C381">_xlfn.TEXTSPLIT(B381, """")</f>
        <v>#VALUE!</v>
      </c>
      <c r="F381" t="str" cm="1">
        <f t="array" ref="F381">IF(D381="","",_xldudf_A_ENTICON(D381))</f>
        <v/>
      </c>
      <c r="H381" t="s">
        <v>564</v>
      </c>
    </row>
    <row r="382" spans="2:8" x14ac:dyDescent="0.25">
      <c r="B382" s="3" t="s">
        <v>204</v>
      </c>
      <c r="C382" t="str" cm="1">
        <f t="array" ref="C382:E382">_xlfn.TEXTSPLIT(B382, """")</f>
        <v xml:space="preserve">folder = </v>
      </c>
      <c r="D382" t="str">
        <v>Folder</v>
      </c>
      <c r="E382" t="str">
        <v/>
      </c>
      <c r="F382" t="e" cm="1" vm="195">
        <f t="array" ref="F382">IF(D382="","",_xldudf_A_ENTICON(D382))</f>
        <v>#VALUE!</v>
      </c>
      <c r="H382" t="s">
        <v>564</v>
      </c>
    </row>
    <row r="383" spans="2:8" x14ac:dyDescent="0.25">
      <c r="B383" s="3"/>
      <c r="C383" t="e" cm="1">
        <f t="array" ref="C383">_xlfn.TEXTSPLIT(B383, """")</f>
        <v>#VALUE!</v>
      </c>
      <c r="F383" t="str" cm="1">
        <f t="array" ref="F383">IF(D383="","",_xldudf_A_ENTICON(D383))</f>
        <v/>
      </c>
      <c r="H383" t="s">
        <v>564</v>
      </c>
    </row>
    <row r="384" spans="2:8" x14ac:dyDescent="0.25">
      <c r="B384" s="3" t="s">
        <v>205</v>
      </c>
      <c r="C384" t="str" cm="1">
        <f t="array" ref="C384:E384">_xlfn.TEXTSPLIT(B384, """")</f>
        <v xml:space="preserve">folderOpen = </v>
      </c>
      <c r="D384" t="str">
        <v>FolderOpen</v>
      </c>
      <c r="E384" t="str">
        <v/>
      </c>
      <c r="F384" t="e" cm="1" vm="196">
        <f t="array" ref="F384">IF(D384="","",_xldudf_A_ENTICON(D384))</f>
        <v>#VALUE!</v>
      </c>
      <c r="H384" t="s">
        <v>564</v>
      </c>
    </row>
    <row r="385" spans="2:8" x14ac:dyDescent="0.25">
      <c r="B385" s="3"/>
      <c r="C385" t="e" cm="1">
        <f t="array" ref="C385">_xlfn.TEXTSPLIT(B385, """")</f>
        <v>#VALUE!</v>
      </c>
      <c r="F385" t="str" cm="1">
        <f t="array" ref="F385">IF(D385="","",_xldudf_A_ENTICON(D385))</f>
        <v/>
      </c>
      <c r="H385" t="s">
        <v>564</v>
      </c>
    </row>
    <row r="386" spans="2:8" x14ac:dyDescent="0.25">
      <c r="B386" s="3" t="s">
        <v>206</v>
      </c>
      <c r="C386" t="str" cm="1">
        <f t="array" ref="C386:E386">_xlfn.TEXTSPLIT(B386, """")</f>
        <v xml:space="preserve">folderOpenVertical = </v>
      </c>
      <c r="D386" t="str">
        <v>FolderOpenVertical</v>
      </c>
      <c r="E386" t="str">
        <v/>
      </c>
      <c r="F386" t="e" cm="1" vm="197">
        <f t="array" ref="F386">IF(D386="","",_xldudf_A_ENTICON(D386))</f>
        <v>#VALUE!</v>
      </c>
      <c r="H386" t="s">
        <v>564</v>
      </c>
    </row>
    <row r="387" spans="2:8" x14ac:dyDescent="0.25">
      <c r="B387" s="3"/>
      <c r="C387" t="e" cm="1">
        <f t="array" ref="C387">_xlfn.TEXTSPLIT(B387, """")</f>
        <v>#VALUE!</v>
      </c>
      <c r="F387" t="str" cm="1">
        <f t="array" ref="F387">IF(D387="","",_xldudf_A_ENTICON(D387))</f>
        <v/>
      </c>
      <c r="H387" t="s">
        <v>564</v>
      </c>
    </row>
    <row r="388" spans="2:8" x14ac:dyDescent="0.25">
      <c r="B388" s="3" t="s">
        <v>207</v>
      </c>
      <c r="C388" t="str" cm="1">
        <f t="array" ref="C388:E388">_xlfn.TEXTSPLIT(B388, """")</f>
        <v xml:space="preserve">folderPerson = </v>
      </c>
      <c r="D388" t="str">
        <v>FolderPerson</v>
      </c>
      <c r="E388" t="str">
        <v/>
      </c>
      <c r="F388" t="e" cm="1" vm="198">
        <f t="array" ref="F388">IF(D388="","",_xldudf_A_ENTICON(D388))</f>
        <v>#VALUE!</v>
      </c>
      <c r="H388" t="s">
        <v>564</v>
      </c>
    </row>
    <row r="389" spans="2:8" x14ac:dyDescent="0.25">
      <c r="B389" s="3"/>
      <c r="C389" t="e" cm="1">
        <f t="array" ref="C389">_xlfn.TEXTSPLIT(B389, """")</f>
        <v>#VALUE!</v>
      </c>
      <c r="F389" t="str" cm="1">
        <f t="array" ref="F389">IF(D389="","",_xldudf_A_ENTICON(D389))</f>
        <v/>
      </c>
      <c r="H389" t="s">
        <v>564</v>
      </c>
    </row>
    <row r="390" spans="2:8" x14ac:dyDescent="0.25">
      <c r="B390" s="3" t="s">
        <v>208</v>
      </c>
      <c r="C390" t="str" cm="1">
        <f t="array" ref="C390:E390">_xlfn.TEXTSPLIT(B390, """")</f>
        <v xml:space="preserve">folderZip = </v>
      </c>
      <c r="D390" t="str">
        <v>FolderZip</v>
      </c>
      <c r="E390" t="str">
        <v/>
      </c>
      <c r="F390" t="e" cm="1" vm="199">
        <f t="array" ref="F390">IF(D390="","",_xldudf_A_ENTICON(D390))</f>
        <v>#VALUE!</v>
      </c>
      <c r="H390" t="s">
        <v>564</v>
      </c>
    </row>
    <row r="391" spans="2:8" x14ac:dyDescent="0.25">
      <c r="B391" s="3"/>
      <c r="C391" t="e" cm="1">
        <f t="array" ref="C391">_xlfn.TEXTSPLIT(B391, """")</f>
        <v>#VALUE!</v>
      </c>
      <c r="F391" t="str" cm="1">
        <f t="array" ref="F391">IF(D391="","",_xldudf_A_ENTICON(D391))</f>
        <v/>
      </c>
      <c r="H391" t="s">
        <v>564</v>
      </c>
    </row>
    <row r="392" spans="2:8" x14ac:dyDescent="0.25">
      <c r="B392" s="3" t="s">
        <v>209</v>
      </c>
      <c r="C392" t="str" cm="1">
        <f t="array" ref="C392:E392">_xlfn.TEXTSPLIT(B392, """")</f>
        <v xml:space="preserve">food = </v>
      </c>
      <c r="D392" t="str">
        <v>Food</v>
      </c>
      <c r="E392" t="str">
        <v/>
      </c>
      <c r="F392" t="e" cm="1" vm="200">
        <f t="array" ref="F392">IF(D392="","",_xldudf_A_ENTICON(D392))</f>
        <v>#VALUE!</v>
      </c>
      <c r="H392" t="s">
        <v>564</v>
      </c>
    </row>
    <row r="393" spans="2:8" x14ac:dyDescent="0.25">
      <c r="B393" s="3"/>
      <c r="C393" t="e" cm="1">
        <f t="array" ref="C393">_xlfn.TEXTSPLIT(B393, """")</f>
        <v>#VALUE!</v>
      </c>
      <c r="F393" t="str" cm="1">
        <f t="array" ref="F393">IF(D393="","",_xldudf_A_ENTICON(D393))</f>
        <v/>
      </c>
      <c r="H393" t="s">
        <v>564</v>
      </c>
    </row>
    <row r="394" spans="2:8" x14ac:dyDescent="0.25">
      <c r="B394" s="3" t="s">
        <v>210</v>
      </c>
      <c r="C394" t="str" cm="1">
        <f t="array" ref="C394:E394">_xlfn.TEXTSPLIT(B394, """")</f>
        <v xml:space="preserve">foodApple = </v>
      </c>
      <c r="D394" t="str">
        <v>FoodApple</v>
      </c>
      <c r="E394" t="str">
        <v/>
      </c>
      <c r="F394" t="e" cm="1" vm="201">
        <f t="array" ref="F394">IF(D394="","",_xldudf_A_ENTICON(D394))</f>
        <v>#VALUE!</v>
      </c>
      <c r="H394" t="s">
        <v>564</v>
      </c>
    </row>
    <row r="395" spans="2:8" x14ac:dyDescent="0.25">
      <c r="B395" s="3"/>
      <c r="C395" t="e" cm="1">
        <f t="array" ref="C395">_xlfn.TEXTSPLIT(B395, """")</f>
        <v>#VALUE!</v>
      </c>
      <c r="F395" t="str" cm="1">
        <f t="array" ref="F395">IF(D395="","",_xldudf_A_ENTICON(D395))</f>
        <v/>
      </c>
      <c r="H395" t="s">
        <v>564</v>
      </c>
    </row>
    <row r="396" spans="2:8" x14ac:dyDescent="0.25">
      <c r="B396" s="3" t="s">
        <v>211</v>
      </c>
      <c r="C396" t="str" cm="1">
        <f t="array" ref="C396:E396">_xlfn.TEXTSPLIT(B396, """")</f>
        <v xml:space="preserve">foodCake = </v>
      </c>
      <c r="D396" t="str">
        <v>FoodCake</v>
      </c>
      <c r="E396" t="str">
        <v/>
      </c>
      <c r="F396" t="e" cm="1" vm="202">
        <f t="array" ref="F396">IF(D396="","",_xldudf_A_ENTICON(D396))</f>
        <v>#VALUE!</v>
      </c>
      <c r="H396" t="s">
        <v>564</v>
      </c>
    </row>
    <row r="397" spans="2:8" x14ac:dyDescent="0.25">
      <c r="B397" s="3"/>
      <c r="C397" t="e" cm="1">
        <f t="array" ref="C397">_xlfn.TEXTSPLIT(B397, """")</f>
        <v>#VALUE!</v>
      </c>
      <c r="F397" t="str" cm="1">
        <f t="array" ref="F397">IF(D397="","",_xldudf_A_ENTICON(D397))</f>
        <v/>
      </c>
      <c r="H397" t="s">
        <v>564</v>
      </c>
    </row>
    <row r="398" spans="2:8" x14ac:dyDescent="0.25">
      <c r="B398" s="3" t="s">
        <v>212</v>
      </c>
      <c r="C398" t="str" cm="1">
        <f t="array" ref="C398:E398">_xlfn.TEXTSPLIT(B398, """")</f>
        <v xml:space="preserve">foodEgg = </v>
      </c>
      <c r="D398" t="str">
        <v>FoodEgg</v>
      </c>
      <c r="E398" t="str">
        <v/>
      </c>
      <c r="F398" t="e" cm="1" vm="203">
        <f t="array" ref="F398">IF(D398="","",_xldudf_A_ENTICON(D398))</f>
        <v>#VALUE!</v>
      </c>
      <c r="H398" t="s">
        <v>564</v>
      </c>
    </row>
    <row r="399" spans="2:8" x14ac:dyDescent="0.25">
      <c r="B399" s="3"/>
      <c r="C399" t="e" cm="1">
        <f t="array" ref="C399">_xlfn.TEXTSPLIT(B399, """")</f>
        <v>#VALUE!</v>
      </c>
      <c r="F399" t="str" cm="1">
        <f t="array" ref="F399">IF(D399="","",_xldudf_A_ENTICON(D399))</f>
        <v/>
      </c>
      <c r="H399" t="s">
        <v>564</v>
      </c>
    </row>
    <row r="400" spans="2:8" x14ac:dyDescent="0.25">
      <c r="B400" s="3" t="s">
        <v>213</v>
      </c>
      <c r="C400" t="str" cm="1">
        <f t="array" ref="C400:E400">_xlfn.TEXTSPLIT(B400, """")</f>
        <v xml:space="preserve">foodGrains = </v>
      </c>
      <c r="D400" t="str">
        <v>FoodGrains</v>
      </c>
      <c r="E400" t="str">
        <v/>
      </c>
      <c r="F400" t="e" cm="1" vm="204">
        <f t="array" ref="F400">IF(D400="","",_xldudf_A_ENTICON(D400))</f>
        <v>#VALUE!</v>
      </c>
      <c r="H400" t="s">
        <v>564</v>
      </c>
    </row>
    <row r="401" spans="2:8" x14ac:dyDescent="0.25">
      <c r="B401" s="3"/>
      <c r="C401" t="e" cm="1">
        <f t="array" ref="C401">_xlfn.TEXTSPLIT(B401, """")</f>
        <v>#VALUE!</v>
      </c>
      <c r="F401" t="str" cm="1">
        <f t="array" ref="F401">IF(D401="","",_xldudf_A_ENTICON(D401))</f>
        <v/>
      </c>
      <c r="H401" t="s">
        <v>564</v>
      </c>
    </row>
    <row r="402" spans="2:8" x14ac:dyDescent="0.25">
      <c r="B402" s="3" t="s">
        <v>214</v>
      </c>
      <c r="C402" t="str" cm="1">
        <f t="array" ref="C402:E402">_xlfn.TEXTSPLIT(B402, """")</f>
        <v xml:space="preserve">foodPizza = </v>
      </c>
      <c r="D402" t="str">
        <v>FoodPizza</v>
      </c>
      <c r="E402" t="str">
        <v/>
      </c>
      <c r="F402" t="e" cm="1" vm="205">
        <f t="array" ref="F402">IF(D402="","",_xldudf_A_ENTICON(D402))</f>
        <v>#VALUE!</v>
      </c>
      <c r="H402" t="s">
        <v>564</v>
      </c>
    </row>
    <row r="403" spans="2:8" x14ac:dyDescent="0.25">
      <c r="B403" s="3"/>
      <c r="C403" t="e" cm="1">
        <f t="array" ref="C403">_xlfn.TEXTSPLIT(B403, """")</f>
        <v>#VALUE!</v>
      </c>
      <c r="F403" t="str" cm="1">
        <f t="array" ref="F403">IF(D403="","",_xldudf_A_ENTICON(D403))</f>
        <v/>
      </c>
      <c r="H403" t="s">
        <v>564</v>
      </c>
    </row>
    <row r="404" spans="2:8" x14ac:dyDescent="0.25">
      <c r="B404" s="3" t="s">
        <v>215</v>
      </c>
      <c r="C404" t="str" cm="1">
        <f t="array" ref="C404:E404">_xlfn.TEXTSPLIT(B404, """")</f>
        <v xml:space="preserve">foodToast = </v>
      </c>
      <c r="D404" t="str">
        <v>FoodToast</v>
      </c>
      <c r="E404" t="str">
        <v/>
      </c>
      <c r="F404" t="e" cm="1" vm="206">
        <f t="array" ref="F404">IF(D404="","",_xldudf_A_ENTICON(D404))</f>
        <v>#VALUE!</v>
      </c>
      <c r="H404" t="s">
        <v>564</v>
      </c>
    </row>
    <row r="405" spans="2:8" x14ac:dyDescent="0.25">
      <c r="B405" s="3"/>
      <c r="C405" t="e" cm="1">
        <f t="array" ref="C405">_xlfn.TEXTSPLIT(B405, """")</f>
        <v>#VALUE!</v>
      </c>
      <c r="F405" t="str" cm="1">
        <f t="array" ref="F405">IF(D405="","",_xldudf_A_ENTICON(D405))</f>
        <v/>
      </c>
      <c r="H405" t="s">
        <v>564</v>
      </c>
    </row>
    <row r="406" spans="2:8" x14ac:dyDescent="0.25">
      <c r="B406" s="3" t="s">
        <v>216</v>
      </c>
      <c r="C406" t="str" cm="1">
        <f t="array" ref="C406:E406">_xlfn.TEXTSPLIT(B406, """")</f>
        <v xml:space="preserve">galaxy = </v>
      </c>
      <c r="D406" t="str">
        <v>Galaxy</v>
      </c>
      <c r="E406" t="str">
        <v/>
      </c>
      <c r="F406" t="e" cm="1" vm="207">
        <f t="array" ref="F406">IF(D406="","",_xldudf_A_ENTICON(D406))</f>
        <v>#VALUE!</v>
      </c>
      <c r="H406" t="s">
        <v>564</v>
      </c>
    </row>
    <row r="407" spans="2:8" x14ac:dyDescent="0.25">
      <c r="B407" s="3"/>
      <c r="C407" t="e" cm="1">
        <f t="array" ref="C407">_xlfn.TEXTSPLIT(B407, """")</f>
        <v>#VALUE!</v>
      </c>
      <c r="F407" t="str" cm="1">
        <f t="array" ref="F407">IF(D407="","",_xldudf_A_ENTICON(D407))</f>
        <v/>
      </c>
      <c r="H407" t="s">
        <v>564</v>
      </c>
    </row>
    <row r="408" spans="2:8" x14ac:dyDescent="0.25">
      <c r="B408" s="3" t="s">
        <v>217</v>
      </c>
      <c r="C408" t="str" cm="1">
        <f t="array" ref="C408:E408">_xlfn.TEXTSPLIT(B408, """")</f>
        <v xml:space="preserve">games = </v>
      </c>
      <c r="D408" t="str">
        <v>Games</v>
      </c>
      <c r="E408" t="str">
        <v/>
      </c>
      <c r="F408" t="e" cm="1" vm="208">
        <f t="array" ref="F408">IF(D408="","",_xldudf_A_ENTICON(D408))</f>
        <v>#VALUE!</v>
      </c>
      <c r="H408" t="s">
        <v>564</v>
      </c>
    </row>
    <row r="409" spans="2:8" x14ac:dyDescent="0.25">
      <c r="B409" s="3"/>
      <c r="C409" t="e" cm="1">
        <f t="array" ref="C409">_xlfn.TEXTSPLIT(B409, """")</f>
        <v>#VALUE!</v>
      </c>
      <c r="F409" t="str" cm="1">
        <f t="array" ref="F409">IF(D409="","",_xldudf_A_ENTICON(D409))</f>
        <v/>
      </c>
      <c r="H409" t="s">
        <v>564</v>
      </c>
    </row>
    <row r="410" spans="2:8" x14ac:dyDescent="0.25">
      <c r="B410" s="3" t="s">
        <v>218</v>
      </c>
      <c r="C410" t="str" cm="1">
        <f t="array" ref="C410:E410">_xlfn.TEXTSPLIT(B410, """")</f>
        <v xml:space="preserve">ganttChart = </v>
      </c>
      <c r="D410" t="str">
        <v>GanttChart</v>
      </c>
      <c r="E410" t="str">
        <v/>
      </c>
      <c r="F410" t="e" cm="1" vm="209">
        <f t="array" ref="F410">IF(D410="","",_xldudf_A_ENTICON(D410))</f>
        <v>#VALUE!</v>
      </c>
      <c r="H410" t="s">
        <v>564</v>
      </c>
    </row>
    <row r="411" spans="2:8" x14ac:dyDescent="0.25">
      <c r="B411" s="3"/>
      <c r="C411" t="e" cm="1">
        <f t="array" ref="C411">_xlfn.TEXTSPLIT(B411, """")</f>
        <v>#VALUE!</v>
      </c>
      <c r="F411" t="str" cm="1">
        <f t="array" ref="F411">IF(D411="","",_xldudf_A_ENTICON(D411))</f>
        <v/>
      </c>
      <c r="H411" t="s">
        <v>564</v>
      </c>
    </row>
    <row r="412" spans="2:8" x14ac:dyDescent="0.25">
      <c r="B412" s="3" t="s">
        <v>219</v>
      </c>
      <c r="C412" t="str" cm="1">
        <f t="array" ref="C412:E412">_xlfn.TEXTSPLIT(B412, """")</f>
        <v xml:space="preserve">gas = </v>
      </c>
      <c r="D412" t="str">
        <v>Gas</v>
      </c>
      <c r="E412" t="str">
        <v/>
      </c>
      <c r="F412" t="e" cm="1" vm="210">
        <f t="array" ref="F412">IF(D412="","",_xldudf_A_ENTICON(D412))</f>
        <v>#VALUE!</v>
      </c>
      <c r="H412" t="s">
        <v>564</v>
      </c>
    </row>
    <row r="413" spans="2:8" x14ac:dyDescent="0.25">
      <c r="B413" s="3"/>
      <c r="C413" t="e" cm="1">
        <f t="array" ref="C413">_xlfn.TEXTSPLIT(B413, """")</f>
        <v>#VALUE!</v>
      </c>
      <c r="F413" t="str" cm="1">
        <f t="array" ref="F413">IF(D413="","",_xldudf_A_ENTICON(D413))</f>
        <v/>
      </c>
      <c r="H413" t="s">
        <v>564</v>
      </c>
    </row>
    <row r="414" spans="2:8" x14ac:dyDescent="0.25">
      <c r="B414" s="3" t="s">
        <v>220</v>
      </c>
      <c r="C414" t="str" cm="1">
        <f t="array" ref="C414:E414">_xlfn.TEXTSPLIT(B414, """")</f>
        <v xml:space="preserve">gasPump = </v>
      </c>
      <c r="D414" t="str">
        <v>GasPump</v>
      </c>
      <c r="E414" t="str">
        <v/>
      </c>
      <c r="F414" t="e" cm="1" vm="211">
        <f t="array" ref="F414">IF(D414="","",_xldudf_A_ENTICON(D414))</f>
        <v>#VALUE!</v>
      </c>
      <c r="H414" t="s">
        <v>564</v>
      </c>
    </row>
    <row r="415" spans="2:8" x14ac:dyDescent="0.25">
      <c r="B415" s="3"/>
      <c r="C415" t="e" cm="1">
        <f t="array" ref="C415">_xlfn.TEXTSPLIT(B415, """")</f>
        <v>#VALUE!</v>
      </c>
      <c r="F415" t="str" cm="1">
        <f t="array" ref="F415">IF(D415="","",_xldudf_A_ENTICON(D415))</f>
        <v/>
      </c>
      <c r="H415" t="s">
        <v>564</v>
      </c>
    </row>
    <row r="416" spans="2:8" x14ac:dyDescent="0.25">
      <c r="B416" s="3" t="s">
        <v>221</v>
      </c>
      <c r="C416" t="str" cm="1">
        <f t="array" ref="C416:E416">_xlfn.TEXTSPLIT(B416, """")</f>
        <v xml:space="preserve">gauge = </v>
      </c>
      <c r="D416" t="str">
        <v>Gauge</v>
      </c>
      <c r="E416" t="str">
        <v/>
      </c>
      <c r="F416" t="e" cm="1" vm="212">
        <f t="array" ref="F416">IF(D416="","",_xldudf_A_ENTICON(D416))</f>
        <v>#VALUE!</v>
      </c>
      <c r="H416" t="s">
        <v>564</v>
      </c>
    </row>
    <row r="417" spans="2:8" x14ac:dyDescent="0.25">
      <c r="B417" s="3"/>
      <c r="C417" t="e" cm="1">
        <f t="array" ref="C417">_xlfn.TEXTSPLIT(B417, """")</f>
        <v>#VALUE!</v>
      </c>
      <c r="F417" t="str" cm="1">
        <f t="array" ref="F417">IF(D417="","",_xldudf_A_ENTICON(D417))</f>
        <v/>
      </c>
      <c r="H417" t="s">
        <v>564</v>
      </c>
    </row>
    <row r="418" spans="2:8" x14ac:dyDescent="0.25">
      <c r="B418" s="3" t="s">
        <v>222</v>
      </c>
      <c r="C418" t="str" cm="1">
        <f t="array" ref="C418:E418">_xlfn.TEXTSPLIT(B418, """")</f>
        <v xml:space="preserve">gavel = </v>
      </c>
      <c r="D418" t="str">
        <v>Gavel</v>
      </c>
      <c r="E418" t="str">
        <v/>
      </c>
      <c r="F418" t="e" cm="1" vm="213">
        <f t="array" ref="F418">IF(D418="","",_xldudf_A_ENTICON(D418))</f>
        <v>#VALUE!</v>
      </c>
      <c r="H418" t="s">
        <v>564</v>
      </c>
    </row>
    <row r="419" spans="2:8" x14ac:dyDescent="0.25">
      <c r="B419" s="3"/>
      <c r="C419" t="e" cm="1">
        <f t="array" ref="C419">_xlfn.TEXTSPLIT(B419, """")</f>
        <v>#VALUE!</v>
      </c>
      <c r="F419" t="str" cm="1">
        <f t="array" ref="F419">IF(D419="","",_xldudf_A_ENTICON(D419))</f>
        <v/>
      </c>
      <c r="H419" t="s">
        <v>564</v>
      </c>
    </row>
    <row r="420" spans="2:8" x14ac:dyDescent="0.25">
      <c r="B420" s="3" t="s">
        <v>223</v>
      </c>
      <c r="C420" t="str" cm="1">
        <f t="array" ref="C420:E420">_xlfn.TEXTSPLIT(B420, """")</f>
        <v xml:space="preserve">generic = </v>
      </c>
      <c r="D420" t="str">
        <v>Generic</v>
      </c>
      <c r="E420" t="str">
        <v/>
      </c>
      <c r="F420" t="e" cm="1" vm="214">
        <f t="array" ref="F420">IF(D420="","",_xldudf_A_ENTICON(D420))</f>
        <v>#VALUE!</v>
      </c>
      <c r="H420" t="s">
        <v>564</v>
      </c>
    </row>
    <row r="421" spans="2:8" x14ac:dyDescent="0.25">
      <c r="B421" s="3"/>
      <c r="C421" t="e" cm="1">
        <f t="array" ref="C421">_xlfn.TEXTSPLIT(B421, """")</f>
        <v>#VALUE!</v>
      </c>
      <c r="F421" t="str" cm="1">
        <f t="array" ref="F421">IF(D421="","",_xldudf_A_ENTICON(D421))</f>
        <v/>
      </c>
      <c r="H421" t="s">
        <v>564</v>
      </c>
    </row>
    <row r="422" spans="2:8" x14ac:dyDescent="0.25">
      <c r="B422" s="3" t="s">
        <v>224</v>
      </c>
      <c r="C422" t="str" cm="1">
        <f t="array" ref="C422:E422">_xlfn.TEXTSPLIT(B422, """")</f>
        <v xml:space="preserve">gift = </v>
      </c>
      <c r="D422" t="str">
        <v>Gift</v>
      </c>
      <c r="E422" t="str">
        <v/>
      </c>
      <c r="F422" t="e" cm="1" vm="215">
        <f t="array" ref="F422">IF(D422="","",_xldudf_A_ENTICON(D422))</f>
        <v>#VALUE!</v>
      </c>
      <c r="H422" t="s">
        <v>564</v>
      </c>
    </row>
    <row r="423" spans="2:8" x14ac:dyDescent="0.25">
      <c r="B423" s="3"/>
      <c r="C423" t="e" cm="1">
        <f t="array" ref="C423">_xlfn.TEXTSPLIT(B423, """")</f>
        <v>#VALUE!</v>
      </c>
      <c r="F423" t="str" cm="1">
        <f t="array" ref="F423">IF(D423="","",_xldudf_A_ENTICON(D423))</f>
        <v/>
      </c>
      <c r="H423" t="s">
        <v>564</v>
      </c>
    </row>
    <row r="424" spans="2:8" x14ac:dyDescent="0.25">
      <c r="B424" s="3" t="s">
        <v>225</v>
      </c>
      <c r="C424" t="str" cm="1">
        <f t="array" ref="C424:E424">_xlfn.TEXTSPLIT(B424, """")</f>
        <v xml:space="preserve">giftCard = </v>
      </c>
      <c r="D424" t="str">
        <v>GiftCard</v>
      </c>
      <c r="E424" t="str">
        <v/>
      </c>
      <c r="F424" t="e" cm="1" vm="216">
        <f t="array" ref="F424">IF(D424="","",_xldudf_A_ENTICON(D424))</f>
        <v>#VALUE!</v>
      </c>
      <c r="H424" t="s">
        <v>564</v>
      </c>
    </row>
    <row r="425" spans="2:8" x14ac:dyDescent="0.25">
      <c r="B425" s="3"/>
      <c r="C425" t="e" cm="1">
        <f t="array" ref="C425">_xlfn.TEXTSPLIT(B425, """")</f>
        <v>#VALUE!</v>
      </c>
      <c r="F425" t="str" cm="1">
        <f t="array" ref="F425">IF(D425="","",_xldudf_A_ENTICON(D425))</f>
        <v/>
      </c>
      <c r="H425" t="s">
        <v>564</v>
      </c>
    </row>
    <row r="426" spans="2:8" x14ac:dyDescent="0.25">
      <c r="B426" s="3" t="s">
        <v>226</v>
      </c>
      <c r="C426" t="str" cm="1">
        <f t="array" ref="C426:E426">_xlfn.TEXTSPLIT(B426, """")</f>
        <v xml:space="preserve">glasses = </v>
      </c>
      <c r="D426" t="str">
        <v>Glasses</v>
      </c>
      <c r="E426" t="str">
        <v/>
      </c>
      <c r="F426" t="e" cm="1" vm="217">
        <f t="array" ref="F426">IF(D426="","",_xldudf_A_ENTICON(D426))</f>
        <v>#VALUE!</v>
      </c>
      <c r="H426" t="s">
        <v>564</v>
      </c>
    </row>
    <row r="427" spans="2:8" x14ac:dyDescent="0.25">
      <c r="B427" s="3"/>
      <c r="C427" t="e" cm="1">
        <f t="array" ref="C427">_xlfn.TEXTSPLIT(B427, """")</f>
        <v>#VALUE!</v>
      </c>
      <c r="F427" t="str" cm="1">
        <f t="array" ref="F427">IF(D427="","",_xldudf_A_ENTICON(D427))</f>
        <v/>
      </c>
      <c r="H427" t="s">
        <v>564</v>
      </c>
    </row>
    <row r="428" spans="2:8" x14ac:dyDescent="0.25">
      <c r="B428" s="3" t="s">
        <v>227</v>
      </c>
      <c r="C428" t="str" cm="1">
        <f t="array" ref="C428:E428">_xlfn.TEXTSPLIT(B428, """")</f>
        <v xml:space="preserve">globe = </v>
      </c>
      <c r="D428" t="str">
        <v>Globe</v>
      </c>
      <c r="E428" t="str">
        <v/>
      </c>
      <c r="F428" t="e" cm="1" vm="218">
        <f t="array" ref="F428">IF(D428="","",_xldudf_A_ENTICON(D428))</f>
        <v>#VALUE!</v>
      </c>
      <c r="H428" t="s">
        <v>564</v>
      </c>
    </row>
    <row r="429" spans="2:8" x14ac:dyDescent="0.25">
      <c r="B429" s="3"/>
      <c r="C429" t="e" cm="1">
        <f t="array" ref="C429">_xlfn.TEXTSPLIT(B429, """")</f>
        <v>#VALUE!</v>
      </c>
      <c r="F429" t="str" cm="1">
        <f t="array" ref="F429">IF(D429="","",_xldudf_A_ENTICON(D429))</f>
        <v/>
      </c>
      <c r="H429" t="s">
        <v>564</v>
      </c>
    </row>
    <row r="430" spans="2:8" x14ac:dyDescent="0.25">
      <c r="B430" s="3" t="s">
        <v>228</v>
      </c>
      <c r="C430" t="str" cm="1">
        <f t="array" ref="C430:E430">_xlfn.TEXTSPLIT(B430, """")</f>
        <v xml:space="preserve">globeSurface = </v>
      </c>
      <c r="D430" t="str">
        <v>GlobeSurface</v>
      </c>
      <c r="E430" t="str">
        <v/>
      </c>
      <c r="F430" t="e" cm="1" vm="219">
        <f t="array" ref="F430">IF(D430="","",_xldudf_A_ENTICON(D430))</f>
        <v>#VALUE!</v>
      </c>
      <c r="H430" t="s">
        <v>564</v>
      </c>
    </row>
    <row r="431" spans="2:8" x14ac:dyDescent="0.25">
      <c r="B431" s="3"/>
      <c r="C431" t="e" cm="1">
        <f t="array" ref="C431">_xlfn.TEXTSPLIT(B431, """")</f>
        <v>#VALUE!</v>
      </c>
      <c r="F431" t="str" cm="1">
        <f t="array" ref="F431">IF(D431="","",_xldudf_A_ENTICON(D431))</f>
        <v/>
      </c>
      <c r="H431" t="s">
        <v>564</v>
      </c>
    </row>
    <row r="432" spans="2:8" x14ac:dyDescent="0.25">
      <c r="B432" s="3" t="s">
        <v>229</v>
      </c>
      <c r="C432" t="str" cm="1">
        <f t="array" ref="C432:E432">_xlfn.TEXTSPLIT(B432, """")</f>
        <v xml:space="preserve">grid = </v>
      </c>
      <c r="D432" t="str">
        <v>Grid</v>
      </c>
      <c r="E432" t="str">
        <v/>
      </c>
      <c r="F432" t="e" cm="1" vm="220">
        <f t="array" ref="F432">IF(D432="","",_xldudf_A_ENTICON(D432))</f>
        <v>#VALUE!</v>
      </c>
      <c r="H432" t="s">
        <v>564</v>
      </c>
    </row>
    <row r="433" spans="2:8" x14ac:dyDescent="0.25">
      <c r="B433" s="3"/>
      <c r="C433" t="e" cm="1">
        <f t="array" ref="C433">_xlfn.TEXTSPLIT(B433, """")</f>
        <v>#VALUE!</v>
      </c>
      <c r="F433" t="str" cm="1">
        <f t="array" ref="F433">IF(D433="","",_xldudf_A_ENTICON(D433))</f>
        <v/>
      </c>
      <c r="H433" t="s">
        <v>564</v>
      </c>
    </row>
    <row r="434" spans="2:8" x14ac:dyDescent="0.25">
      <c r="B434" s="3" t="s">
        <v>230</v>
      </c>
      <c r="C434" t="str" cm="1">
        <f t="array" ref="C434:E434">_xlfn.TEXTSPLIT(B434, """")</f>
        <v xml:space="preserve">gridDots = </v>
      </c>
      <c r="D434" t="str">
        <v>GridDots</v>
      </c>
      <c r="E434" t="str">
        <v/>
      </c>
      <c r="F434" t="e" cm="1" vm="221">
        <f t="array" ref="F434">IF(D434="","",_xldudf_A_ENTICON(D434))</f>
        <v>#VALUE!</v>
      </c>
      <c r="H434" t="s">
        <v>564</v>
      </c>
    </row>
    <row r="435" spans="2:8" x14ac:dyDescent="0.25">
      <c r="B435" s="3"/>
      <c r="C435" t="e" cm="1">
        <f t="array" ref="C435">_xlfn.TEXTSPLIT(B435, """")</f>
        <v>#VALUE!</v>
      </c>
      <c r="F435" t="str" cm="1">
        <f t="array" ref="F435">IF(D435="","",_xldudf_A_ENTICON(D435))</f>
        <v/>
      </c>
      <c r="H435" t="s">
        <v>564</v>
      </c>
    </row>
    <row r="436" spans="2:8" x14ac:dyDescent="0.25">
      <c r="B436" s="3" t="s">
        <v>231</v>
      </c>
      <c r="C436" t="str" cm="1">
        <f t="array" ref="C436:E436">_xlfn.TEXTSPLIT(B436, """")</f>
        <v xml:space="preserve">gridKanban = </v>
      </c>
      <c r="D436" t="str">
        <v>GridKanban</v>
      </c>
      <c r="E436" t="str">
        <v/>
      </c>
      <c r="F436" t="e" cm="1" vm="222">
        <f t="array" ref="F436">IF(D436="","",_xldudf_A_ENTICON(D436))</f>
        <v>#VALUE!</v>
      </c>
      <c r="H436" t="s">
        <v>564</v>
      </c>
    </row>
    <row r="437" spans="2:8" x14ac:dyDescent="0.25">
      <c r="B437" s="3"/>
      <c r="C437" t="e" cm="1">
        <f t="array" ref="C437">_xlfn.TEXTSPLIT(B437, """")</f>
        <v>#VALUE!</v>
      </c>
      <c r="F437" t="str" cm="1">
        <f t="array" ref="F437">IF(D437="","",_xldudf_A_ENTICON(D437))</f>
        <v/>
      </c>
      <c r="H437" t="s">
        <v>564</v>
      </c>
    </row>
    <row r="438" spans="2:8" x14ac:dyDescent="0.25">
      <c r="B438" s="3" t="s">
        <v>232</v>
      </c>
      <c r="C438" t="str" cm="1">
        <f t="array" ref="C438:E438">_xlfn.TEXTSPLIT(B438, """")</f>
        <v xml:space="preserve">guardian = </v>
      </c>
      <c r="D438" t="str">
        <v>Guardian</v>
      </c>
      <c r="E438" t="str">
        <v/>
      </c>
      <c r="F438" t="e" cm="1" vm="223">
        <f t="array" ref="F438">IF(D438="","",_xldudf_A_ENTICON(D438))</f>
        <v>#VALUE!</v>
      </c>
      <c r="H438" t="s">
        <v>564</v>
      </c>
    </row>
    <row r="439" spans="2:8" x14ac:dyDescent="0.25">
      <c r="B439" s="3"/>
      <c r="C439" t="e" cm="1">
        <f t="array" ref="C439">_xlfn.TEXTSPLIT(B439, """")</f>
        <v>#VALUE!</v>
      </c>
      <c r="F439" t="str" cm="1">
        <f t="array" ref="F439">IF(D439="","",_xldudf_A_ENTICON(D439))</f>
        <v/>
      </c>
      <c r="H439" t="s">
        <v>564</v>
      </c>
    </row>
    <row r="440" spans="2:8" x14ac:dyDescent="0.25">
      <c r="B440" s="3" t="s">
        <v>233</v>
      </c>
      <c r="C440" t="str" cm="1">
        <f t="array" ref="C440:E440">_xlfn.TEXTSPLIT(B440, """")</f>
        <v xml:space="preserve">guest = </v>
      </c>
      <c r="D440" t="str">
        <v>Guest</v>
      </c>
      <c r="E440" t="str">
        <v/>
      </c>
      <c r="F440" t="e" cm="1" vm="224">
        <f t="array" ref="F440">IF(D440="","",_xldudf_A_ENTICON(D440))</f>
        <v>#VALUE!</v>
      </c>
      <c r="H440" t="s">
        <v>564</v>
      </c>
    </row>
    <row r="441" spans="2:8" x14ac:dyDescent="0.25">
      <c r="B441" s="3"/>
      <c r="C441" t="e" cm="1">
        <f t="array" ref="C441">_xlfn.TEXTSPLIT(B441, """")</f>
        <v>#VALUE!</v>
      </c>
      <c r="F441" t="str" cm="1">
        <f t="array" ref="F441">IF(D441="","",_xldudf_A_ENTICON(D441))</f>
        <v/>
      </c>
      <c r="H441" t="s">
        <v>564</v>
      </c>
    </row>
    <row r="442" spans="2:8" x14ac:dyDescent="0.25">
      <c r="B442" s="3" t="s">
        <v>234</v>
      </c>
      <c r="C442" t="str" cm="1">
        <f t="array" ref="C442:E442">_xlfn.TEXTSPLIT(B442, """")</f>
        <v xml:space="preserve">guitar = </v>
      </c>
      <c r="D442" t="str">
        <v>Guitar</v>
      </c>
      <c r="E442" t="str">
        <v/>
      </c>
      <c r="F442" t="e" cm="1" vm="225">
        <f t="array" ref="F442">IF(D442="","",_xldudf_A_ENTICON(D442))</f>
        <v>#VALUE!</v>
      </c>
      <c r="H442" t="s">
        <v>564</v>
      </c>
    </row>
    <row r="443" spans="2:8" x14ac:dyDescent="0.25">
      <c r="B443" s="3"/>
      <c r="C443" t="e" cm="1">
        <f t="array" ref="C443">_xlfn.TEXTSPLIT(B443, """")</f>
        <v>#VALUE!</v>
      </c>
      <c r="F443" t="str" cm="1">
        <f t="array" ref="F443">IF(D443="","",_xldudf_A_ENTICON(D443))</f>
        <v/>
      </c>
      <c r="H443" t="s">
        <v>564</v>
      </c>
    </row>
    <row r="444" spans="2:8" x14ac:dyDescent="0.25">
      <c r="B444" s="3" t="s">
        <v>235</v>
      </c>
      <c r="C444" t="str" cm="1">
        <f t="array" ref="C444:E444">_xlfn.TEXTSPLIT(B444, """")</f>
        <v xml:space="preserve">handLeft = </v>
      </c>
      <c r="D444" t="str">
        <v>HandLeft</v>
      </c>
      <c r="E444" t="str">
        <v/>
      </c>
      <c r="F444" t="e" cm="1" vm="226">
        <f t="array" ref="F444">IF(D444="","",_xldudf_A_ENTICON(D444))</f>
        <v>#VALUE!</v>
      </c>
      <c r="H444" t="s">
        <v>564</v>
      </c>
    </row>
    <row r="445" spans="2:8" x14ac:dyDescent="0.25">
      <c r="B445" s="3"/>
      <c r="C445" t="e" cm="1">
        <f t="array" ref="C445">_xlfn.TEXTSPLIT(B445, """")</f>
        <v>#VALUE!</v>
      </c>
      <c r="F445" t="str" cm="1">
        <f t="array" ref="F445">IF(D445="","",_xldudf_A_ENTICON(D445))</f>
        <v/>
      </c>
      <c r="H445" t="s">
        <v>564</v>
      </c>
    </row>
    <row r="446" spans="2:8" x14ac:dyDescent="0.25">
      <c r="B446" s="3" t="s">
        <v>236</v>
      </c>
      <c r="C446" t="str" cm="1">
        <f t="array" ref="C446:E446">_xlfn.TEXTSPLIT(B446, """")</f>
        <v xml:space="preserve">handRight = </v>
      </c>
      <c r="D446" t="str">
        <v>HandRight</v>
      </c>
      <c r="E446" t="str">
        <v/>
      </c>
      <c r="F446" t="e" cm="1" vm="227">
        <f t="array" ref="F446">IF(D446="","",_xldudf_A_ENTICON(D446))</f>
        <v>#VALUE!</v>
      </c>
      <c r="H446" t="s">
        <v>564</v>
      </c>
    </row>
    <row r="447" spans="2:8" x14ac:dyDescent="0.25">
      <c r="B447" s="3"/>
      <c r="C447" t="e" cm="1">
        <f t="array" ref="C447">_xlfn.TEXTSPLIT(B447, """")</f>
        <v>#VALUE!</v>
      </c>
      <c r="F447" t="str" cm="1">
        <f t="array" ref="F447">IF(D447="","",_xldudf_A_ENTICON(D447))</f>
        <v/>
      </c>
      <c r="H447" t="s">
        <v>564</v>
      </c>
    </row>
    <row r="448" spans="2:8" x14ac:dyDescent="0.25">
      <c r="B448" s="3" t="s">
        <v>237</v>
      </c>
      <c r="C448" t="str" cm="1">
        <f t="array" ref="C448:E448">_xlfn.TEXTSPLIT(B448, """")</f>
        <v xml:space="preserve">handshake = </v>
      </c>
      <c r="D448" t="str">
        <v>Handshake</v>
      </c>
      <c r="E448" t="str">
        <v/>
      </c>
      <c r="F448" t="e" cm="1" vm="228">
        <f t="array" ref="F448">IF(D448="","",_xldudf_A_ENTICON(D448))</f>
        <v>#VALUE!</v>
      </c>
      <c r="H448" t="s">
        <v>564</v>
      </c>
    </row>
    <row r="449" spans="2:8" x14ac:dyDescent="0.25">
      <c r="B449" s="3"/>
      <c r="C449" t="e" cm="1">
        <f t="array" ref="C449">_xlfn.TEXTSPLIT(B449, """")</f>
        <v>#VALUE!</v>
      </c>
      <c r="F449" t="str" cm="1">
        <f t="array" ref="F449">IF(D449="","",_xldudf_A_ENTICON(D449))</f>
        <v/>
      </c>
      <c r="H449" t="s">
        <v>564</v>
      </c>
    </row>
    <row r="450" spans="2:8" x14ac:dyDescent="0.25">
      <c r="B450" s="3" t="s">
        <v>238</v>
      </c>
      <c r="C450" t="str" cm="1">
        <f t="array" ref="C450:E450">_xlfn.TEXTSPLIT(B450, """")</f>
        <v xml:space="preserve">hardDrive = </v>
      </c>
      <c r="D450" t="str">
        <v>HardDrive</v>
      </c>
      <c r="E450" t="str">
        <v/>
      </c>
      <c r="F450" t="e" cm="1" vm="229">
        <f t="array" ref="F450">IF(D450="","",_xldudf_A_ENTICON(D450))</f>
        <v>#VALUE!</v>
      </c>
      <c r="H450" t="s">
        <v>564</v>
      </c>
    </row>
    <row r="451" spans="2:8" x14ac:dyDescent="0.25">
      <c r="B451" s="3"/>
      <c r="C451" t="e" cm="1">
        <f t="array" ref="C451">_xlfn.TEXTSPLIT(B451, """")</f>
        <v>#VALUE!</v>
      </c>
      <c r="F451" t="str" cm="1">
        <f t="array" ref="F451">IF(D451="","",_xldudf_A_ENTICON(D451))</f>
        <v/>
      </c>
      <c r="H451" t="s">
        <v>564</v>
      </c>
    </row>
    <row r="452" spans="2:8" x14ac:dyDescent="0.25">
      <c r="B452" s="3" t="s">
        <v>239</v>
      </c>
      <c r="C452" t="str" cm="1">
        <f t="array" ref="C452:E452">_xlfn.TEXTSPLIT(B452, """")</f>
        <v xml:space="preserve">hatGraduation = </v>
      </c>
      <c r="D452" t="str">
        <v>HatGraduation</v>
      </c>
      <c r="E452" t="str">
        <v/>
      </c>
      <c r="F452" t="e" cm="1" vm="230">
        <f t="array" ref="F452">IF(D452="","",_xldudf_A_ENTICON(D452))</f>
        <v>#VALUE!</v>
      </c>
      <c r="H452" t="s">
        <v>564</v>
      </c>
    </row>
    <row r="453" spans="2:8" x14ac:dyDescent="0.25">
      <c r="B453" s="3"/>
      <c r="C453" t="e" cm="1">
        <f t="array" ref="C453">_xlfn.TEXTSPLIT(B453, """")</f>
        <v>#VALUE!</v>
      </c>
      <c r="F453" t="str" cm="1">
        <f t="array" ref="F453">IF(D453="","",_xldudf_A_ENTICON(D453))</f>
        <v/>
      </c>
      <c r="H453" t="s">
        <v>564</v>
      </c>
    </row>
    <row r="454" spans="2:8" x14ac:dyDescent="0.25">
      <c r="B454" s="3" t="s">
        <v>240</v>
      </c>
      <c r="C454" t="str" cm="1">
        <f t="array" ref="C454:E454">_xlfn.TEXTSPLIT(B454, """")</f>
        <v xml:space="preserve">headphones = </v>
      </c>
      <c r="D454" t="str">
        <v>Headphones</v>
      </c>
      <c r="E454" t="str">
        <v/>
      </c>
      <c r="F454" t="e" cm="1" vm="231">
        <f t="array" ref="F454">IF(D454="","",_xldudf_A_ENTICON(D454))</f>
        <v>#VALUE!</v>
      </c>
      <c r="H454" t="s">
        <v>564</v>
      </c>
    </row>
    <row r="455" spans="2:8" x14ac:dyDescent="0.25">
      <c r="B455" s="3"/>
      <c r="C455" t="e" cm="1">
        <f t="array" ref="C455">_xlfn.TEXTSPLIT(B455, """")</f>
        <v>#VALUE!</v>
      </c>
      <c r="F455" t="str" cm="1">
        <f t="array" ref="F455">IF(D455="","",_xldudf_A_ENTICON(D455))</f>
        <v/>
      </c>
      <c r="H455" t="s">
        <v>564</v>
      </c>
    </row>
    <row r="456" spans="2:8" x14ac:dyDescent="0.25">
      <c r="B456" s="3" t="s">
        <v>241</v>
      </c>
      <c r="C456" t="str" cm="1">
        <f t="array" ref="C456:E456">_xlfn.TEXTSPLIT(B456, """")</f>
        <v xml:space="preserve">headphonesSoundWave = </v>
      </c>
      <c r="D456" t="str">
        <v>HeadphonesSoundWave</v>
      </c>
      <c r="E456" t="str">
        <v/>
      </c>
      <c r="F456" t="e" cm="1" vm="232">
        <f t="array" ref="F456">IF(D456="","",_xldudf_A_ENTICON(D456))</f>
        <v>#VALUE!</v>
      </c>
      <c r="H456" t="s">
        <v>564</v>
      </c>
    </row>
    <row r="457" spans="2:8" x14ac:dyDescent="0.25">
      <c r="B457" s="3"/>
      <c r="C457" t="e" cm="1">
        <f t="array" ref="C457">_xlfn.TEXTSPLIT(B457, """")</f>
        <v>#VALUE!</v>
      </c>
      <c r="F457" t="str" cm="1">
        <f t="array" ref="F457">IF(D457="","",_xldudf_A_ENTICON(D457))</f>
        <v/>
      </c>
      <c r="H457" t="s">
        <v>564</v>
      </c>
    </row>
    <row r="458" spans="2:8" x14ac:dyDescent="0.25">
      <c r="B458" s="3" t="s">
        <v>242</v>
      </c>
      <c r="C458" t="str" cm="1">
        <f t="array" ref="C458:E458">_xlfn.TEXTSPLIT(B458, """")</f>
        <v xml:space="preserve">headset = </v>
      </c>
      <c r="D458" t="str">
        <v>Headset</v>
      </c>
      <c r="E458" t="str">
        <v/>
      </c>
      <c r="F458" t="e" cm="1" vm="233">
        <f t="array" ref="F458">IF(D458="","",_xldudf_A_ENTICON(D458))</f>
        <v>#VALUE!</v>
      </c>
      <c r="H458" t="s">
        <v>564</v>
      </c>
    </row>
    <row r="459" spans="2:8" x14ac:dyDescent="0.25">
      <c r="B459" s="3"/>
      <c r="C459" t="e" cm="1">
        <f t="array" ref="C459">_xlfn.TEXTSPLIT(B459, """")</f>
        <v>#VALUE!</v>
      </c>
      <c r="F459" t="str" cm="1">
        <f t="array" ref="F459">IF(D459="","",_xldudf_A_ENTICON(D459))</f>
        <v/>
      </c>
      <c r="H459" t="s">
        <v>564</v>
      </c>
    </row>
    <row r="460" spans="2:8" x14ac:dyDescent="0.25">
      <c r="B460" s="3" t="s">
        <v>243</v>
      </c>
      <c r="C460" t="str" cm="1">
        <f t="array" ref="C460:E460">_xlfn.TEXTSPLIT(B460, """")</f>
        <v xml:space="preserve">headsetVr = </v>
      </c>
      <c r="D460" t="str">
        <v>HeadsetVr</v>
      </c>
      <c r="E460" t="str">
        <v/>
      </c>
      <c r="F460" t="e" cm="1" vm="234">
        <f t="array" ref="F460">IF(D460="","",_xldudf_A_ENTICON(D460))</f>
        <v>#VALUE!</v>
      </c>
      <c r="H460" t="s">
        <v>564</v>
      </c>
    </row>
    <row r="461" spans="2:8" x14ac:dyDescent="0.25">
      <c r="B461" s="3"/>
      <c r="C461" t="e" cm="1">
        <f t="array" ref="C461">_xlfn.TEXTSPLIT(B461, """")</f>
        <v>#VALUE!</v>
      </c>
      <c r="F461" t="str" cm="1">
        <f t="array" ref="F461">IF(D461="","",_xldudf_A_ENTICON(D461))</f>
        <v/>
      </c>
      <c r="H461" t="s">
        <v>564</v>
      </c>
    </row>
    <row r="462" spans="2:8" x14ac:dyDescent="0.25">
      <c r="B462" s="3" t="s">
        <v>244</v>
      </c>
      <c r="C462" t="str" cm="1">
        <f t="array" ref="C462:E462">_xlfn.TEXTSPLIT(B462, """")</f>
        <v xml:space="preserve">heart = </v>
      </c>
      <c r="D462" t="str">
        <v>Heart</v>
      </c>
      <c r="E462" t="str">
        <v/>
      </c>
      <c r="F462" t="e" cm="1" vm="235">
        <f t="array" ref="F462">IF(D462="","",_xldudf_A_ENTICON(D462))</f>
        <v>#VALUE!</v>
      </c>
      <c r="H462" t="s">
        <v>564</v>
      </c>
    </row>
    <row r="463" spans="2:8" x14ac:dyDescent="0.25">
      <c r="B463" s="3"/>
      <c r="C463" t="e" cm="1">
        <f t="array" ref="C463">_xlfn.TEXTSPLIT(B463, """")</f>
        <v>#VALUE!</v>
      </c>
      <c r="F463" t="str" cm="1">
        <f t="array" ref="F463">IF(D463="","",_xldudf_A_ENTICON(D463))</f>
        <v/>
      </c>
      <c r="H463" t="s">
        <v>564</v>
      </c>
    </row>
    <row r="464" spans="2:8" x14ac:dyDescent="0.25">
      <c r="B464" s="3" t="s">
        <v>245</v>
      </c>
      <c r="C464" t="str" cm="1">
        <f t="array" ref="C464:E464">_xlfn.TEXTSPLIT(B464, """")</f>
        <v xml:space="preserve">heartBroken = </v>
      </c>
      <c r="D464" t="str">
        <v>HeartBroken</v>
      </c>
      <c r="E464" t="str">
        <v/>
      </c>
      <c r="F464" t="e" cm="1" vm="236">
        <f t="array" ref="F464">IF(D464="","",_xldudf_A_ENTICON(D464))</f>
        <v>#VALUE!</v>
      </c>
      <c r="H464" t="s">
        <v>564</v>
      </c>
    </row>
    <row r="465" spans="2:8" x14ac:dyDescent="0.25">
      <c r="B465" s="3"/>
      <c r="C465" t="e" cm="1">
        <f t="array" ref="C465">_xlfn.TEXTSPLIT(B465, """")</f>
        <v>#VALUE!</v>
      </c>
      <c r="F465" t="str" cm="1">
        <f t="array" ref="F465">IF(D465="","",_xldudf_A_ENTICON(D465))</f>
        <v/>
      </c>
      <c r="H465" t="s">
        <v>564</v>
      </c>
    </row>
    <row r="466" spans="2:8" x14ac:dyDescent="0.25">
      <c r="B466" s="3" t="s">
        <v>246</v>
      </c>
      <c r="C466" t="str" cm="1">
        <f t="array" ref="C466:E466">_xlfn.TEXTSPLIT(B466, """")</f>
        <v xml:space="preserve">heartCircle = </v>
      </c>
      <c r="D466" t="str">
        <v>HeartCircle</v>
      </c>
      <c r="E466" t="str">
        <v/>
      </c>
      <c r="F466" t="e" cm="1" vm="237">
        <f t="array" ref="F466">IF(D466="","",_xldudf_A_ENTICON(D466))</f>
        <v>#VALUE!</v>
      </c>
      <c r="H466" t="s">
        <v>564</v>
      </c>
    </row>
    <row r="467" spans="2:8" x14ac:dyDescent="0.25">
      <c r="B467" s="3"/>
      <c r="C467" t="e" cm="1">
        <f t="array" ref="C467">_xlfn.TEXTSPLIT(B467, """")</f>
        <v>#VALUE!</v>
      </c>
      <c r="F467" t="str" cm="1">
        <f t="array" ref="F467">IF(D467="","",_xldudf_A_ENTICON(D467))</f>
        <v/>
      </c>
      <c r="H467" t="s">
        <v>564</v>
      </c>
    </row>
    <row r="468" spans="2:8" x14ac:dyDescent="0.25">
      <c r="B468" s="3" t="s">
        <v>247</v>
      </c>
      <c r="C468" t="str" cm="1">
        <f t="array" ref="C468:E468">_xlfn.TEXTSPLIT(B468, """")</f>
        <v xml:space="preserve">heartHuman = </v>
      </c>
      <c r="D468" t="str">
        <v>HeartHuman</v>
      </c>
      <c r="E468" t="str">
        <v/>
      </c>
      <c r="F468" t="e" cm="1" vm="238">
        <f t="array" ref="F468">IF(D468="","",_xldudf_A_ENTICON(D468))</f>
        <v>#VALUE!</v>
      </c>
      <c r="H468" t="s">
        <v>564</v>
      </c>
    </row>
    <row r="469" spans="2:8" x14ac:dyDescent="0.25">
      <c r="B469" s="3"/>
      <c r="C469" t="e" cm="1">
        <f t="array" ref="C469">_xlfn.TEXTSPLIT(B469, """")</f>
        <v>#VALUE!</v>
      </c>
      <c r="F469" t="str" cm="1">
        <f t="array" ref="F469">IF(D469="","",_xldudf_A_ENTICON(D469))</f>
        <v/>
      </c>
      <c r="H469" t="s">
        <v>564</v>
      </c>
    </row>
    <row r="470" spans="2:8" x14ac:dyDescent="0.25">
      <c r="B470" s="3" t="s">
        <v>248</v>
      </c>
      <c r="C470" t="str" cm="1">
        <f t="array" ref="C470:E470">_xlfn.TEXTSPLIT(B470, """")</f>
        <v xml:space="preserve">heartPulse = </v>
      </c>
      <c r="D470" t="str">
        <v>HeartPulse</v>
      </c>
      <c r="E470" t="str">
        <v/>
      </c>
      <c r="F470" t="e" cm="1" vm="239">
        <f t="array" ref="F470">IF(D470="","",_xldudf_A_ENTICON(D470))</f>
        <v>#VALUE!</v>
      </c>
      <c r="H470" t="s">
        <v>564</v>
      </c>
    </row>
    <row r="471" spans="2:8" x14ac:dyDescent="0.25">
      <c r="B471" s="3"/>
      <c r="C471" t="e" cm="1">
        <f t="array" ref="C471">_xlfn.TEXTSPLIT(B471, """")</f>
        <v>#VALUE!</v>
      </c>
      <c r="F471" t="str" cm="1">
        <f t="array" ref="F471">IF(D471="","",_xldudf_A_ENTICON(D471))</f>
        <v/>
      </c>
      <c r="H471" t="s">
        <v>564</v>
      </c>
    </row>
    <row r="472" spans="2:8" x14ac:dyDescent="0.25">
      <c r="B472" s="3" t="s">
        <v>249</v>
      </c>
      <c r="C472" t="str" cm="1">
        <f t="array" ref="C472:E472">_xlfn.TEXTSPLIT(B472, """")</f>
        <v xml:space="preserve">history = </v>
      </c>
      <c r="D472" t="str">
        <v>History</v>
      </c>
      <c r="E472" t="str">
        <v/>
      </c>
      <c r="F472" t="e" cm="1" vm="240">
        <f t="array" ref="F472">IF(D472="","",_xldudf_A_ENTICON(D472))</f>
        <v>#VALUE!</v>
      </c>
      <c r="H472" t="s">
        <v>564</v>
      </c>
    </row>
    <row r="473" spans="2:8" x14ac:dyDescent="0.25">
      <c r="B473" s="3"/>
      <c r="C473" t="e" cm="1">
        <f t="array" ref="C473">_xlfn.TEXTSPLIT(B473, """")</f>
        <v>#VALUE!</v>
      </c>
      <c r="F473" t="str" cm="1">
        <f t="array" ref="F473">IF(D473="","",_xldudf_A_ENTICON(D473))</f>
        <v/>
      </c>
      <c r="H473" t="s">
        <v>564</v>
      </c>
    </row>
    <row r="474" spans="2:8" x14ac:dyDescent="0.25">
      <c r="B474" s="3" t="s">
        <v>250</v>
      </c>
      <c r="C474" t="str" cm="1">
        <f t="array" ref="C474:E474">_xlfn.TEXTSPLIT(B474, """")</f>
        <v xml:space="preserve">home = </v>
      </c>
      <c r="D474" t="str">
        <v>Home</v>
      </c>
      <c r="E474" t="str">
        <v/>
      </c>
      <c r="F474" t="e" cm="1" vm="241">
        <f t="array" ref="F474">IF(D474="","",_xldudf_A_ENTICON(D474))</f>
        <v>#VALUE!</v>
      </c>
      <c r="H474" t="s">
        <v>564</v>
      </c>
    </row>
    <row r="475" spans="2:8" x14ac:dyDescent="0.25">
      <c r="B475" s="3"/>
      <c r="C475" t="e" cm="1">
        <f t="array" ref="C475">_xlfn.TEXTSPLIT(B475, """")</f>
        <v>#VALUE!</v>
      </c>
      <c r="F475" t="str" cm="1">
        <f t="array" ref="F475">IF(D475="","",_xldudf_A_ENTICON(D475))</f>
        <v/>
      </c>
      <c r="H475" t="s">
        <v>564</v>
      </c>
    </row>
    <row r="476" spans="2:8" x14ac:dyDescent="0.25">
      <c r="B476" s="3" t="s">
        <v>251</v>
      </c>
      <c r="C476" t="str" cm="1">
        <f t="array" ref="C476:E476">_xlfn.TEXTSPLIT(B476, """")</f>
        <v xml:space="preserve">homeMore = </v>
      </c>
      <c r="D476" t="str">
        <v>HomeMore</v>
      </c>
      <c r="E476" t="str">
        <v/>
      </c>
      <c r="F476" t="e" cm="1" vm="242">
        <f t="array" ref="F476">IF(D476="","",_xldudf_A_ENTICON(D476))</f>
        <v>#VALUE!</v>
      </c>
      <c r="H476" t="s">
        <v>564</v>
      </c>
    </row>
    <row r="477" spans="2:8" x14ac:dyDescent="0.25">
      <c r="B477" s="3"/>
      <c r="C477" t="e" cm="1">
        <f t="array" ref="C477">_xlfn.TEXTSPLIT(B477, """")</f>
        <v>#VALUE!</v>
      </c>
      <c r="F477" t="str" cm="1">
        <f t="array" ref="F477">IF(D477="","",_xldudf_A_ENTICON(D477))</f>
        <v/>
      </c>
      <c r="H477" t="s">
        <v>564</v>
      </c>
    </row>
    <row r="478" spans="2:8" x14ac:dyDescent="0.25">
      <c r="B478" s="3" t="s">
        <v>252</v>
      </c>
      <c r="C478" t="str" cm="1">
        <f t="array" ref="C478:E478">_xlfn.TEXTSPLIT(B478, """")</f>
        <v xml:space="preserve">homePerson = </v>
      </c>
      <c r="D478" t="str">
        <v>HomePerson</v>
      </c>
      <c r="E478" t="str">
        <v/>
      </c>
      <c r="F478" t="e" cm="1" vm="243">
        <f t="array" ref="F478">IF(D478="","",_xldudf_A_ENTICON(D478))</f>
        <v>#VALUE!</v>
      </c>
      <c r="H478" t="s">
        <v>564</v>
      </c>
    </row>
    <row r="479" spans="2:8" x14ac:dyDescent="0.25">
      <c r="B479" s="3"/>
      <c r="C479" t="e" cm="1">
        <f t="array" ref="C479">_xlfn.TEXTSPLIT(B479, """")</f>
        <v>#VALUE!</v>
      </c>
      <c r="F479" t="str" cm="1">
        <f t="array" ref="F479">IF(D479="","",_xldudf_A_ENTICON(D479))</f>
        <v/>
      </c>
      <c r="H479" t="s">
        <v>564</v>
      </c>
    </row>
    <row r="480" spans="2:8" x14ac:dyDescent="0.25">
      <c r="B480" s="3" t="s">
        <v>253</v>
      </c>
      <c r="C480" t="str" cm="1">
        <f t="array" ref="C480:E480">_xlfn.TEXTSPLIT(B480, """")</f>
        <v xml:space="preserve">icons = </v>
      </c>
      <c r="D480" t="str">
        <v>Icons</v>
      </c>
      <c r="E480" t="str">
        <v/>
      </c>
      <c r="F480" t="e" cm="1" vm="244">
        <f t="array" ref="F480">IF(D480="","",_xldudf_A_ENTICON(D480))</f>
        <v>#VALUE!</v>
      </c>
      <c r="H480" t="s">
        <v>564</v>
      </c>
    </row>
    <row r="481" spans="2:8" x14ac:dyDescent="0.25">
      <c r="B481" s="3"/>
      <c r="C481" t="e" cm="1">
        <f t="array" ref="C481">_xlfn.TEXTSPLIT(B481, """")</f>
        <v>#VALUE!</v>
      </c>
      <c r="F481" t="str" cm="1">
        <f t="array" ref="F481">IF(D481="","",_xldudf_A_ENTICON(D481))</f>
        <v/>
      </c>
      <c r="H481" t="s">
        <v>564</v>
      </c>
    </row>
    <row r="482" spans="2:8" x14ac:dyDescent="0.25">
      <c r="B482" s="3" t="s">
        <v>254</v>
      </c>
      <c r="C482" t="str" cm="1">
        <f t="array" ref="C482:E482">_xlfn.TEXTSPLIT(B482, """")</f>
        <v xml:space="preserve">image = </v>
      </c>
      <c r="D482" t="str">
        <v>Image</v>
      </c>
      <c r="E482" t="str">
        <v/>
      </c>
      <c r="F482" t="e" cm="1" vm="245">
        <f t="array" ref="F482">IF(D482="","",_xldudf_A_ENTICON(D482))</f>
        <v>#VALUE!</v>
      </c>
      <c r="H482" t="s">
        <v>564</v>
      </c>
    </row>
    <row r="483" spans="2:8" x14ac:dyDescent="0.25">
      <c r="B483" s="3"/>
      <c r="C483" t="e" cm="1">
        <f t="array" ref="C483">_xlfn.TEXTSPLIT(B483, """")</f>
        <v>#VALUE!</v>
      </c>
      <c r="F483" t="str" cm="1">
        <f t="array" ref="F483">IF(D483="","",_xldudf_A_ENTICON(D483))</f>
        <v/>
      </c>
      <c r="H483" t="s">
        <v>564</v>
      </c>
    </row>
    <row r="484" spans="2:8" x14ac:dyDescent="0.25">
      <c r="B484" s="3" t="s">
        <v>255</v>
      </c>
      <c r="C484" t="str" cm="1">
        <f t="array" ref="C484:E484">_xlfn.TEXTSPLIT(B484, """")</f>
        <v xml:space="preserve">imageGlobe = </v>
      </c>
      <c r="D484" t="str">
        <v>ImageGlobe</v>
      </c>
      <c r="E484" t="str">
        <v/>
      </c>
      <c r="F484" t="e" cm="1" vm="246">
        <f t="array" ref="F484">IF(D484="","",_xldudf_A_ENTICON(D484))</f>
        <v>#VALUE!</v>
      </c>
      <c r="H484" t="s">
        <v>564</v>
      </c>
    </row>
    <row r="485" spans="2:8" x14ac:dyDescent="0.25">
      <c r="B485" s="3"/>
      <c r="C485" t="e" cm="1">
        <f t="array" ref="C485">_xlfn.TEXTSPLIT(B485, """")</f>
        <v>#VALUE!</v>
      </c>
      <c r="F485" t="str" cm="1">
        <f t="array" ref="F485">IF(D485="","",_xldudf_A_ENTICON(D485))</f>
        <v/>
      </c>
      <c r="H485" t="s">
        <v>564</v>
      </c>
    </row>
    <row r="486" spans="2:8" x14ac:dyDescent="0.25">
      <c r="B486" s="3" t="s">
        <v>256</v>
      </c>
      <c r="C486" t="str" cm="1">
        <f t="array" ref="C486:E486">_xlfn.TEXTSPLIT(B486, """")</f>
        <v xml:space="preserve">imageMultiple = </v>
      </c>
      <c r="D486" t="str">
        <v>ImageMultiple</v>
      </c>
      <c r="E486" t="str">
        <v/>
      </c>
      <c r="F486" t="e" cm="1" vm="247">
        <f t="array" ref="F486">IF(D486="","",_xldudf_A_ENTICON(D486))</f>
        <v>#VALUE!</v>
      </c>
      <c r="H486" t="s">
        <v>564</v>
      </c>
    </row>
    <row r="487" spans="2:8" x14ac:dyDescent="0.25">
      <c r="B487" s="3"/>
      <c r="C487" t="e" cm="1">
        <f t="array" ref="C487">_xlfn.TEXTSPLIT(B487, """")</f>
        <v>#VALUE!</v>
      </c>
      <c r="F487" t="str" cm="1">
        <f t="array" ref="F487">IF(D487="","",_xldudf_A_ENTICON(D487))</f>
        <v/>
      </c>
      <c r="H487" t="s">
        <v>564</v>
      </c>
    </row>
    <row r="488" spans="2:8" x14ac:dyDescent="0.25">
      <c r="B488" s="3" t="s">
        <v>257</v>
      </c>
      <c r="C488" t="str" cm="1">
        <f t="array" ref="C488:E488">_xlfn.TEXTSPLIT(B488, """")</f>
        <v xml:space="preserve">iot = </v>
      </c>
      <c r="D488" t="str">
        <v>Iot</v>
      </c>
      <c r="E488" t="str">
        <v/>
      </c>
      <c r="F488" t="e" cm="1" vm="248">
        <f t="array" ref="F488">IF(D488="","",_xldudf_A_ENTICON(D488))</f>
        <v>#VALUE!</v>
      </c>
      <c r="H488" t="s">
        <v>564</v>
      </c>
    </row>
    <row r="489" spans="2:8" x14ac:dyDescent="0.25">
      <c r="B489" s="3"/>
      <c r="C489" t="e" cm="1">
        <f t="array" ref="C489">_xlfn.TEXTSPLIT(B489, """")</f>
        <v>#VALUE!</v>
      </c>
      <c r="F489" t="str" cm="1">
        <f t="array" ref="F489">IF(D489="","",_xldudf_A_ENTICON(D489))</f>
        <v/>
      </c>
      <c r="H489" t="s">
        <v>564</v>
      </c>
    </row>
    <row r="490" spans="2:8" x14ac:dyDescent="0.25">
      <c r="B490" s="3" t="s">
        <v>258</v>
      </c>
      <c r="C490" t="str" cm="1">
        <f t="array" ref="C490:E490">_xlfn.TEXTSPLIT(B490, """")</f>
        <v xml:space="preserve">joystick = </v>
      </c>
      <c r="D490" t="str">
        <v>Joystick</v>
      </c>
      <c r="E490" t="str">
        <v/>
      </c>
      <c r="F490" t="e" cm="1" vm="249">
        <f t="array" ref="F490">IF(D490="","",_xldudf_A_ENTICON(D490))</f>
        <v>#VALUE!</v>
      </c>
      <c r="H490" t="s">
        <v>564</v>
      </c>
    </row>
    <row r="491" spans="2:8" x14ac:dyDescent="0.25">
      <c r="B491" s="3"/>
      <c r="C491" t="e" cm="1">
        <f t="array" ref="C491">_xlfn.TEXTSPLIT(B491, """")</f>
        <v>#VALUE!</v>
      </c>
      <c r="F491" t="str" cm="1">
        <f t="array" ref="F491">IF(D491="","",_xldudf_A_ENTICON(D491))</f>
        <v/>
      </c>
      <c r="H491" t="s">
        <v>564</v>
      </c>
    </row>
    <row r="492" spans="2:8" x14ac:dyDescent="0.25">
      <c r="B492" s="3" t="s">
        <v>259</v>
      </c>
      <c r="C492" t="str" cm="1">
        <f t="array" ref="C492:E492">_xlfn.TEXTSPLIT(B492, """")</f>
        <v xml:space="preserve">justice = </v>
      </c>
      <c r="D492" t="str">
        <v>Justice</v>
      </c>
      <c r="E492" t="str">
        <v/>
      </c>
      <c r="F492" t="e" cm="1" vm="250">
        <f t="array" ref="F492">IF(D492="","",_xldudf_A_ENTICON(D492))</f>
        <v>#VALUE!</v>
      </c>
      <c r="H492" t="s">
        <v>564</v>
      </c>
    </row>
    <row r="493" spans="2:8" x14ac:dyDescent="0.25">
      <c r="B493" s="3"/>
      <c r="C493" t="e" cm="1">
        <f t="array" ref="C493">_xlfn.TEXTSPLIT(B493, """")</f>
        <v>#VALUE!</v>
      </c>
      <c r="F493" t="str" cm="1">
        <f t="array" ref="F493">IF(D493="","",_xldudf_A_ENTICON(D493))</f>
        <v/>
      </c>
      <c r="H493" t="s">
        <v>564</v>
      </c>
    </row>
    <row r="494" spans="2:8" x14ac:dyDescent="0.25">
      <c r="B494" s="3" t="s">
        <v>260</v>
      </c>
      <c r="C494" t="str" cm="1">
        <f t="array" ref="C494:E494">_xlfn.TEXTSPLIT(B494, """")</f>
        <v xml:space="preserve">key = </v>
      </c>
      <c r="D494" t="str">
        <v>Key</v>
      </c>
      <c r="E494" t="str">
        <v/>
      </c>
      <c r="F494" t="e" cm="1" vm="251">
        <f t="array" ref="F494">IF(D494="","",_xldudf_A_ENTICON(D494))</f>
        <v>#VALUE!</v>
      </c>
      <c r="H494" t="s">
        <v>564</v>
      </c>
    </row>
    <row r="495" spans="2:8" x14ac:dyDescent="0.25">
      <c r="B495" s="3"/>
      <c r="C495" t="e" cm="1">
        <f t="array" ref="C495">_xlfn.TEXTSPLIT(B495, """")</f>
        <v>#VALUE!</v>
      </c>
      <c r="F495" t="str" cm="1">
        <f t="array" ref="F495">IF(D495="","",_xldudf_A_ENTICON(D495))</f>
        <v/>
      </c>
      <c r="H495" t="s">
        <v>564</v>
      </c>
    </row>
    <row r="496" spans="2:8" x14ac:dyDescent="0.25">
      <c r="B496" s="3" t="s">
        <v>261</v>
      </c>
      <c r="C496" t="str" cm="1">
        <f t="array" ref="C496:E496">_xlfn.TEXTSPLIT(B496, """")</f>
        <v xml:space="preserve">keyboard = </v>
      </c>
      <c r="D496" t="str">
        <v>Keyboard</v>
      </c>
      <c r="E496" t="str">
        <v/>
      </c>
      <c r="F496" t="e" cm="1" vm="252">
        <f t="array" ref="F496">IF(D496="","",_xldudf_A_ENTICON(D496))</f>
        <v>#VALUE!</v>
      </c>
      <c r="H496" t="s">
        <v>564</v>
      </c>
    </row>
    <row r="497" spans="2:8" x14ac:dyDescent="0.25">
      <c r="B497" s="3"/>
      <c r="C497" t="e" cm="1">
        <f t="array" ref="C497">_xlfn.TEXTSPLIT(B497, """")</f>
        <v>#VALUE!</v>
      </c>
      <c r="F497" t="str" cm="1">
        <f t="array" ref="F497">IF(D497="","",_xldudf_A_ENTICON(D497))</f>
        <v/>
      </c>
      <c r="H497" t="s">
        <v>564</v>
      </c>
    </row>
    <row r="498" spans="2:8" x14ac:dyDescent="0.25">
      <c r="B498" s="3" t="s">
        <v>262</v>
      </c>
      <c r="C498" t="str" cm="1">
        <f t="array" ref="C498:E498">_xlfn.TEXTSPLIT(B498, """")</f>
        <v xml:space="preserve">keyboardLayoutSplit = </v>
      </c>
      <c r="D498" t="str">
        <v>KeyboardLayoutSplit</v>
      </c>
      <c r="E498" t="str">
        <v/>
      </c>
      <c r="F498" t="e" cm="1" vm="253">
        <f t="array" ref="F498">IF(D498="","",_xldudf_A_ENTICON(D498))</f>
        <v>#VALUE!</v>
      </c>
      <c r="H498" t="s">
        <v>564</v>
      </c>
    </row>
    <row r="499" spans="2:8" x14ac:dyDescent="0.25">
      <c r="B499" s="3"/>
      <c r="C499" t="e" cm="1">
        <f t="array" ref="C499">_xlfn.TEXTSPLIT(B499, """")</f>
        <v>#VALUE!</v>
      </c>
      <c r="F499" t="str" cm="1">
        <f t="array" ref="F499">IF(D499="","",_xldudf_A_ENTICON(D499))</f>
        <v/>
      </c>
      <c r="H499" t="s">
        <v>564</v>
      </c>
    </row>
    <row r="500" spans="2:8" x14ac:dyDescent="0.25">
      <c r="B500" s="3" t="s">
        <v>263</v>
      </c>
      <c r="C500" t="str" cm="1">
        <f t="array" ref="C500:E500">_xlfn.TEXTSPLIT(B500, """")</f>
        <v xml:space="preserve">keyMultiple = </v>
      </c>
      <c r="D500" t="str">
        <v>KeyMultiple</v>
      </c>
      <c r="E500" t="str">
        <v/>
      </c>
      <c r="F500" t="e" cm="1" vm="254">
        <f t="array" ref="F500">IF(D500="","",_xldudf_A_ENTICON(D500))</f>
        <v>#VALUE!</v>
      </c>
      <c r="H500" t="s">
        <v>564</v>
      </c>
    </row>
    <row r="501" spans="2:8" x14ac:dyDescent="0.25">
      <c r="B501" s="3"/>
      <c r="C501" t="e" cm="1">
        <f t="array" ref="C501">_xlfn.TEXTSPLIT(B501, """")</f>
        <v>#VALUE!</v>
      </c>
      <c r="F501" t="str" cm="1">
        <f t="array" ref="F501">IF(D501="","",_xldudf_A_ENTICON(D501))</f>
        <v/>
      </c>
      <c r="H501" t="s">
        <v>564</v>
      </c>
    </row>
    <row r="502" spans="2:8" x14ac:dyDescent="0.25">
      <c r="B502" s="3" t="s">
        <v>264</v>
      </c>
      <c r="C502" t="str" cm="1">
        <f t="array" ref="C502:E502">_xlfn.TEXTSPLIT(B502, """")</f>
        <v xml:space="preserve">languages = </v>
      </c>
      <c r="D502" t="str">
        <v>Languages</v>
      </c>
      <c r="E502" t="str">
        <v/>
      </c>
      <c r="F502" t="e" cm="1" vm="255">
        <f t="array" ref="F502">IF(D502="","",_xldudf_A_ENTICON(D502))</f>
        <v>#VALUE!</v>
      </c>
      <c r="H502" t="s">
        <v>564</v>
      </c>
    </row>
    <row r="503" spans="2:8" x14ac:dyDescent="0.25">
      <c r="B503" s="3"/>
      <c r="C503" t="e" cm="1">
        <f t="array" ref="C503">_xlfn.TEXTSPLIT(B503, """")</f>
        <v>#VALUE!</v>
      </c>
      <c r="F503" t="str" cm="1">
        <f t="array" ref="F503">IF(D503="","",_xldudf_A_ENTICON(D503))</f>
        <v/>
      </c>
      <c r="H503" t="s">
        <v>564</v>
      </c>
    </row>
    <row r="504" spans="2:8" x14ac:dyDescent="0.25">
      <c r="B504" s="3" t="s">
        <v>265</v>
      </c>
      <c r="C504" t="str" cm="1">
        <f t="array" ref="C504:E504">_xlfn.TEXTSPLIT(B504, """")</f>
        <v xml:space="preserve">laptop = </v>
      </c>
      <c r="D504" t="str">
        <v>Laptop</v>
      </c>
      <c r="E504" t="str">
        <v/>
      </c>
      <c r="F504" t="e" cm="1" vm="256">
        <f t="array" ref="F504">IF(D504="","",_xldudf_A_ENTICON(D504))</f>
        <v>#VALUE!</v>
      </c>
      <c r="H504" t="s">
        <v>564</v>
      </c>
    </row>
    <row r="505" spans="2:8" x14ac:dyDescent="0.25">
      <c r="B505" s="3"/>
      <c r="C505" t="e" cm="1">
        <f t="array" ref="C505">_xlfn.TEXTSPLIT(B505, """")</f>
        <v>#VALUE!</v>
      </c>
      <c r="F505" t="str" cm="1">
        <f t="array" ref="F505">IF(D505="","",_xldudf_A_ENTICON(D505))</f>
        <v/>
      </c>
      <c r="H505" t="s">
        <v>564</v>
      </c>
    </row>
    <row r="506" spans="2:8" x14ac:dyDescent="0.25">
      <c r="B506" s="3" t="s">
        <v>266</v>
      </c>
      <c r="C506" t="str" cm="1">
        <f t="array" ref="C506:E506">_xlfn.TEXTSPLIT(B506, """")</f>
        <v xml:space="preserve">lasso = </v>
      </c>
      <c r="D506" t="str">
        <v>Lasso</v>
      </c>
      <c r="E506" t="str">
        <v/>
      </c>
      <c r="F506" t="e" cm="1" vm="257">
        <f t="array" ref="F506">IF(D506="","",_xldudf_A_ENTICON(D506))</f>
        <v>#VALUE!</v>
      </c>
      <c r="H506" t="s">
        <v>564</v>
      </c>
    </row>
    <row r="507" spans="2:8" x14ac:dyDescent="0.25">
      <c r="B507" s="3"/>
      <c r="C507" t="e" cm="1">
        <f t="array" ref="C507">_xlfn.TEXTSPLIT(B507, """")</f>
        <v>#VALUE!</v>
      </c>
      <c r="F507" t="str" cm="1">
        <f t="array" ref="F507">IF(D507="","",_xldudf_A_ENTICON(D507))</f>
        <v/>
      </c>
      <c r="H507" t="s">
        <v>564</v>
      </c>
    </row>
    <row r="508" spans="2:8" x14ac:dyDescent="0.25">
      <c r="B508" s="3" t="s">
        <v>267</v>
      </c>
      <c r="C508" t="str" cm="1">
        <f t="array" ref="C508:E508">_xlfn.TEXTSPLIT(B508, """")</f>
        <v xml:space="preserve">launcherSettings = </v>
      </c>
      <c r="D508" t="str">
        <v>LauncherSettings</v>
      </c>
      <c r="E508" t="str">
        <v/>
      </c>
      <c r="F508" t="e" cm="1" vm="258">
        <f t="array" ref="F508">IF(D508="","",_xldudf_A_ENTICON(D508))</f>
        <v>#VALUE!</v>
      </c>
      <c r="H508" t="s">
        <v>564</v>
      </c>
    </row>
    <row r="509" spans="2:8" x14ac:dyDescent="0.25">
      <c r="B509" s="3"/>
      <c r="C509" t="e" cm="1">
        <f t="array" ref="C509">_xlfn.TEXTSPLIT(B509, """")</f>
        <v>#VALUE!</v>
      </c>
      <c r="F509" t="str" cm="1">
        <f t="array" ref="F509">IF(D509="","",_xldudf_A_ENTICON(D509))</f>
        <v/>
      </c>
      <c r="H509" t="s">
        <v>564</v>
      </c>
    </row>
    <row r="510" spans="2:8" x14ac:dyDescent="0.25">
      <c r="B510" s="3" t="s">
        <v>268</v>
      </c>
      <c r="C510" t="str" cm="1">
        <f t="array" ref="C510:E510">_xlfn.TEXTSPLIT(B510, """")</f>
        <v xml:space="preserve">layer = </v>
      </c>
      <c r="D510" t="str">
        <v>Layer</v>
      </c>
      <c r="E510" t="str">
        <v/>
      </c>
      <c r="F510" t="e" cm="1" vm="259">
        <f t="array" ref="F510">IF(D510="","",_xldudf_A_ENTICON(D510))</f>
        <v>#VALUE!</v>
      </c>
      <c r="H510" t="s">
        <v>564</v>
      </c>
    </row>
    <row r="511" spans="2:8" x14ac:dyDescent="0.25">
      <c r="B511" s="3"/>
      <c r="C511" t="e" cm="1">
        <f t="array" ref="C511">_xlfn.TEXTSPLIT(B511, """")</f>
        <v>#VALUE!</v>
      </c>
      <c r="F511" t="str" cm="1">
        <f t="array" ref="F511">IF(D511="","",_xldudf_A_ENTICON(D511))</f>
        <v/>
      </c>
      <c r="H511" t="s">
        <v>564</v>
      </c>
    </row>
    <row r="512" spans="2:8" x14ac:dyDescent="0.25">
      <c r="B512" s="3" t="s">
        <v>269</v>
      </c>
      <c r="C512" t="str" cm="1">
        <f t="array" ref="C512:E512">_xlfn.TEXTSPLIT(B512, """")</f>
        <v xml:space="preserve">leaf = </v>
      </c>
      <c r="D512" t="str">
        <v>Leaf</v>
      </c>
      <c r="E512" t="str">
        <v/>
      </c>
      <c r="F512" t="e" cm="1" vm="260">
        <f t="array" ref="F512">IF(D512="","",_xldudf_A_ENTICON(D512))</f>
        <v>#VALUE!</v>
      </c>
      <c r="H512" t="s">
        <v>564</v>
      </c>
    </row>
    <row r="513" spans="2:8" x14ac:dyDescent="0.25">
      <c r="B513" s="3"/>
      <c r="C513" t="e" cm="1">
        <f t="array" ref="C513">_xlfn.TEXTSPLIT(B513, """")</f>
        <v>#VALUE!</v>
      </c>
      <c r="F513" t="str" cm="1">
        <f t="array" ref="F513">IF(D513="","",_xldudf_A_ENTICON(D513))</f>
        <v/>
      </c>
      <c r="H513" t="s">
        <v>564</v>
      </c>
    </row>
    <row r="514" spans="2:8" x14ac:dyDescent="0.25">
      <c r="B514" s="3" t="s">
        <v>270</v>
      </c>
      <c r="C514" t="str" cm="1">
        <f t="array" ref="C514:E514">_xlfn.TEXTSPLIT(B514, """")</f>
        <v xml:space="preserve">leafOne = </v>
      </c>
      <c r="D514" t="str">
        <v>LeafOne</v>
      </c>
      <c r="E514" t="str">
        <v/>
      </c>
      <c r="F514" t="e" cm="1" vm="261">
        <f t="array" ref="F514">IF(D514="","",_xldudf_A_ENTICON(D514))</f>
        <v>#VALUE!</v>
      </c>
      <c r="H514" t="s">
        <v>564</v>
      </c>
    </row>
    <row r="515" spans="2:8" x14ac:dyDescent="0.25">
      <c r="B515" s="3"/>
      <c r="C515" t="e" cm="1">
        <f t="array" ref="C515">_xlfn.TEXTSPLIT(B515, """")</f>
        <v>#VALUE!</v>
      </c>
      <c r="F515" t="str" cm="1">
        <f t="array" ref="F515">IF(D515="","",_xldudf_A_ENTICON(D515))</f>
        <v/>
      </c>
      <c r="H515" t="s">
        <v>564</v>
      </c>
    </row>
    <row r="516" spans="2:8" x14ac:dyDescent="0.25">
      <c r="B516" s="3" t="s">
        <v>271</v>
      </c>
      <c r="C516" t="str" cm="1">
        <f t="array" ref="C516:E516">_xlfn.TEXTSPLIT(B516, """")</f>
        <v xml:space="preserve">leafThree = </v>
      </c>
      <c r="D516" t="str">
        <v>LeafThree</v>
      </c>
      <c r="E516" t="str">
        <v/>
      </c>
      <c r="F516" t="e" cm="1" vm="262">
        <f t="array" ref="F516">IF(D516="","",_xldudf_A_ENTICON(D516))</f>
        <v>#VALUE!</v>
      </c>
      <c r="H516" t="s">
        <v>564</v>
      </c>
    </row>
    <row r="517" spans="2:8" x14ac:dyDescent="0.25">
      <c r="B517" s="3"/>
      <c r="C517" t="e" cm="1">
        <f t="array" ref="C517">_xlfn.TEXTSPLIT(B517, """")</f>
        <v>#VALUE!</v>
      </c>
      <c r="F517" t="str" cm="1">
        <f t="array" ref="F517">IF(D517="","",_xldudf_A_ENTICON(D517))</f>
        <v/>
      </c>
      <c r="H517" t="s">
        <v>564</v>
      </c>
    </row>
    <row r="518" spans="2:8" x14ac:dyDescent="0.25">
      <c r="B518" s="3" t="s">
        <v>272</v>
      </c>
      <c r="C518" t="str" cm="1">
        <f t="array" ref="C518:E518">_xlfn.TEXTSPLIT(B518, """")</f>
        <v xml:space="preserve">leafTwo = </v>
      </c>
      <c r="D518" t="str">
        <v>LeafTwo</v>
      </c>
      <c r="E518" t="str">
        <v/>
      </c>
      <c r="F518" t="e" cm="1" vm="263">
        <f t="array" ref="F518">IF(D518="","",_xldudf_A_ENTICON(D518))</f>
        <v>#VALUE!</v>
      </c>
      <c r="H518" t="s">
        <v>564</v>
      </c>
    </row>
    <row r="519" spans="2:8" x14ac:dyDescent="0.25">
      <c r="B519" s="3"/>
      <c r="C519" t="e" cm="1">
        <f t="array" ref="C519">_xlfn.TEXTSPLIT(B519, """")</f>
        <v>#VALUE!</v>
      </c>
      <c r="F519" t="str" cm="1">
        <f t="array" ref="F519">IF(D519="","",_xldudf_A_ENTICON(D519))</f>
        <v/>
      </c>
      <c r="H519" t="s">
        <v>564</v>
      </c>
    </row>
    <row r="520" spans="2:8" x14ac:dyDescent="0.25">
      <c r="B520" s="3" t="s">
        <v>273</v>
      </c>
      <c r="C520" t="str" cm="1">
        <f t="array" ref="C520:E520">_xlfn.TEXTSPLIT(B520, """")</f>
        <v xml:space="preserve">library = </v>
      </c>
      <c r="D520" t="str">
        <v>Library</v>
      </c>
      <c r="E520" t="str">
        <v/>
      </c>
      <c r="F520" t="e" cm="1" vm="264">
        <f t="array" ref="F520">IF(D520="","",_xldudf_A_ENTICON(D520))</f>
        <v>#VALUE!</v>
      </c>
      <c r="H520" t="s">
        <v>564</v>
      </c>
    </row>
    <row r="521" spans="2:8" x14ac:dyDescent="0.25">
      <c r="B521" s="3"/>
      <c r="C521" t="e" cm="1">
        <f t="array" ref="C521">_xlfn.TEXTSPLIT(B521, """")</f>
        <v>#VALUE!</v>
      </c>
      <c r="F521" t="str" cm="1">
        <f t="array" ref="F521">IF(D521="","",_xldudf_A_ENTICON(D521))</f>
        <v/>
      </c>
      <c r="H521" t="s">
        <v>564</v>
      </c>
    </row>
    <row r="522" spans="2:8" x14ac:dyDescent="0.25">
      <c r="B522" s="3" t="s">
        <v>274</v>
      </c>
      <c r="C522" t="str" cm="1">
        <f t="array" ref="C522:E522">_xlfn.TEXTSPLIT(B522, """")</f>
        <v xml:space="preserve">lightbulb = </v>
      </c>
      <c r="D522" t="str">
        <v>Lightbulb</v>
      </c>
      <c r="E522" t="str">
        <v/>
      </c>
      <c r="F522" t="e" cm="1" vm="265">
        <f t="array" ref="F522">IF(D522="","",_xldudf_A_ENTICON(D522))</f>
        <v>#VALUE!</v>
      </c>
      <c r="H522" t="s">
        <v>564</v>
      </c>
    </row>
    <row r="523" spans="2:8" x14ac:dyDescent="0.25">
      <c r="B523" s="3"/>
      <c r="C523" t="e" cm="1">
        <f t="array" ref="C523">_xlfn.TEXTSPLIT(B523, """")</f>
        <v>#VALUE!</v>
      </c>
      <c r="F523" t="str" cm="1">
        <f t="array" ref="F523">IF(D523="","",_xldudf_A_ENTICON(D523))</f>
        <v/>
      </c>
      <c r="H523" t="s">
        <v>564</v>
      </c>
    </row>
    <row r="524" spans="2:8" x14ac:dyDescent="0.25">
      <c r="B524" s="3" t="s">
        <v>275</v>
      </c>
      <c r="C524" t="str" cm="1">
        <f t="array" ref="C524:E524">_xlfn.TEXTSPLIT(B524, """")</f>
        <v xml:space="preserve">lightbulbFilament = </v>
      </c>
      <c r="D524" t="str">
        <v>LightbulbFilament</v>
      </c>
      <c r="E524" t="str">
        <v/>
      </c>
      <c r="F524" t="e" cm="1" vm="266">
        <f t="array" ref="F524">IF(D524="","",_xldudf_A_ENTICON(D524))</f>
        <v>#VALUE!</v>
      </c>
      <c r="H524" t="s">
        <v>564</v>
      </c>
    </row>
    <row r="525" spans="2:8" x14ac:dyDescent="0.25">
      <c r="B525" s="3"/>
      <c r="C525" t="e" cm="1">
        <f t="array" ref="C525">_xlfn.TEXTSPLIT(B525, """")</f>
        <v>#VALUE!</v>
      </c>
      <c r="F525" t="str" cm="1">
        <f t="array" ref="F525">IF(D525="","",_xldudf_A_ENTICON(D525))</f>
        <v/>
      </c>
      <c r="H525" t="s">
        <v>564</v>
      </c>
    </row>
    <row r="526" spans="2:8" x14ac:dyDescent="0.25">
      <c r="B526" s="3" t="s">
        <v>276</v>
      </c>
      <c r="C526" t="str" cm="1">
        <f t="array" ref="C526:E526">_xlfn.TEXTSPLIT(B526, """")</f>
        <v xml:space="preserve">likert = </v>
      </c>
      <c r="D526" t="str">
        <v>Likert</v>
      </c>
      <c r="E526" t="str">
        <v/>
      </c>
      <c r="F526" t="e" cm="1" vm="267">
        <f t="array" ref="F526">IF(D526="","",_xldudf_A_ENTICON(D526))</f>
        <v>#VALUE!</v>
      </c>
      <c r="H526" t="s">
        <v>564</v>
      </c>
    </row>
    <row r="527" spans="2:8" x14ac:dyDescent="0.25">
      <c r="B527" s="3"/>
      <c r="C527" t="e" cm="1">
        <f t="array" ref="C527">_xlfn.TEXTSPLIT(B527, """")</f>
        <v>#VALUE!</v>
      </c>
      <c r="F527" t="str" cm="1">
        <f t="array" ref="F527">IF(D527="","",_xldudf_A_ENTICON(D527))</f>
        <v/>
      </c>
      <c r="H527" t="s">
        <v>564</v>
      </c>
    </row>
    <row r="528" spans="2:8" x14ac:dyDescent="0.25">
      <c r="B528" s="3" t="s">
        <v>277</v>
      </c>
      <c r="C528" t="str" cm="1">
        <f t="array" ref="C528:E528">_xlfn.TEXTSPLIT(B528, """")</f>
        <v xml:space="preserve">link = </v>
      </c>
      <c r="D528" t="str">
        <v>Link</v>
      </c>
      <c r="E528" t="str">
        <v/>
      </c>
      <c r="F528" t="e" cm="1" vm="268">
        <f t="array" ref="F528">IF(D528="","",_xldudf_A_ENTICON(D528))</f>
        <v>#VALUE!</v>
      </c>
      <c r="H528" t="s">
        <v>564</v>
      </c>
    </row>
    <row r="529" spans="2:8" x14ac:dyDescent="0.25">
      <c r="B529" s="3"/>
      <c r="C529" t="e" cm="1">
        <f t="array" ref="C529">_xlfn.TEXTSPLIT(B529, """")</f>
        <v>#VALUE!</v>
      </c>
      <c r="F529" t="str" cm="1">
        <f t="array" ref="F529">IF(D529="","",_xldudf_A_ENTICON(D529))</f>
        <v/>
      </c>
      <c r="H529" t="s">
        <v>564</v>
      </c>
    </row>
    <row r="530" spans="2:8" x14ac:dyDescent="0.25">
      <c r="B530" s="3" t="s">
        <v>278</v>
      </c>
      <c r="C530" t="str" cm="1">
        <f t="array" ref="C530:E530">_xlfn.TEXTSPLIT(B530, """")</f>
        <v xml:space="preserve">localLanguage = </v>
      </c>
      <c r="D530" t="str">
        <v>LocalLanguage</v>
      </c>
      <c r="E530" t="str">
        <v/>
      </c>
      <c r="F530" t="e" cm="1" vm="269">
        <f t="array" ref="F530">IF(D530="","",_xldudf_A_ENTICON(D530))</f>
        <v>#VALUE!</v>
      </c>
      <c r="H530" t="s">
        <v>564</v>
      </c>
    </row>
    <row r="531" spans="2:8" x14ac:dyDescent="0.25">
      <c r="B531" s="3"/>
      <c r="C531" t="e" cm="1">
        <f t="array" ref="C531">_xlfn.TEXTSPLIT(B531, """")</f>
        <v>#VALUE!</v>
      </c>
      <c r="F531" t="str" cm="1">
        <f t="array" ref="F531">IF(D531="","",_xldudf_A_ENTICON(D531))</f>
        <v/>
      </c>
      <c r="H531" t="s">
        <v>564</v>
      </c>
    </row>
    <row r="532" spans="2:8" x14ac:dyDescent="0.25">
      <c r="B532" s="3" t="s">
        <v>279</v>
      </c>
      <c r="C532" t="str" cm="1">
        <f t="array" ref="C532:E532">_xlfn.TEXTSPLIT(B532, """")</f>
        <v xml:space="preserve">location = </v>
      </c>
      <c r="D532" t="str">
        <v>Location</v>
      </c>
      <c r="E532" t="str">
        <v/>
      </c>
      <c r="F532" t="e" cm="1" vm="270">
        <f t="array" ref="F532">IF(D532="","",_xldudf_A_ENTICON(D532))</f>
        <v>#VALUE!</v>
      </c>
      <c r="H532" t="s">
        <v>564</v>
      </c>
    </row>
    <row r="533" spans="2:8" x14ac:dyDescent="0.25">
      <c r="B533" s="3"/>
      <c r="C533" t="e" cm="1">
        <f t="array" ref="C533">_xlfn.TEXTSPLIT(B533, """")</f>
        <v>#VALUE!</v>
      </c>
      <c r="F533" t="str" cm="1">
        <f t="array" ref="F533">IF(D533="","",_xldudf_A_ENTICON(D533))</f>
        <v/>
      </c>
      <c r="H533" t="s">
        <v>564</v>
      </c>
    </row>
    <row r="534" spans="2:8" x14ac:dyDescent="0.25">
      <c r="B534" s="3" t="s">
        <v>280</v>
      </c>
      <c r="C534" t="str" cm="1">
        <f t="array" ref="C534:E534">_xlfn.TEXTSPLIT(B534, """")</f>
        <v xml:space="preserve">lockClosed = </v>
      </c>
      <c r="D534" t="str">
        <v>LockClosed</v>
      </c>
      <c r="E534" t="str">
        <v/>
      </c>
      <c r="F534" t="e" cm="1" vm="271">
        <f t="array" ref="F534">IF(D534="","",_xldudf_A_ENTICON(D534))</f>
        <v>#VALUE!</v>
      </c>
      <c r="H534" t="s">
        <v>564</v>
      </c>
    </row>
    <row r="535" spans="2:8" x14ac:dyDescent="0.25">
      <c r="B535" s="3"/>
      <c r="C535" t="e" cm="1">
        <f t="array" ref="C535">_xlfn.TEXTSPLIT(B535, """")</f>
        <v>#VALUE!</v>
      </c>
      <c r="F535" t="str" cm="1">
        <f t="array" ref="F535">IF(D535="","",_xldudf_A_ENTICON(D535))</f>
        <v/>
      </c>
      <c r="H535" t="s">
        <v>564</v>
      </c>
    </row>
    <row r="536" spans="2:8" x14ac:dyDescent="0.25">
      <c r="B536" s="3" t="s">
        <v>281</v>
      </c>
      <c r="C536" t="str" cm="1">
        <f t="array" ref="C536:E536">_xlfn.TEXTSPLIT(B536, """")</f>
        <v xml:space="preserve">lockMultiple = </v>
      </c>
      <c r="D536" t="str">
        <v>LockMultiple</v>
      </c>
      <c r="E536" t="str">
        <v/>
      </c>
      <c r="F536" t="e" cm="1" vm="272">
        <f t="array" ref="F536">IF(D536="","",_xldudf_A_ENTICON(D536))</f>
        <v>#VALUE!</v>
      </c>
      <c r="H536" t="s">
        <v>564</v>
      </c>
    </row>
    <row r="537" spans="2:8" x14ac:dyDescent="0.25">
      <c r="B537" s="3"/>
      <c r="C537" t="e" cm="1">
        <f t="array" ref="C537">_xlfn.TEXTSPLIT(B537, """")</f>
        <v>#VALUE!</v>
      </c>
      <c r="F537" t="str" cm="1">
        <f t="array" ref="F537">IF(D537="","",_xldudf_A_ENTICON(D537))</f>
        <v/>
      </c>
      <c r="H537" t="s">
        <v>564</v>
      </c>
    </row>
    <row r="538" spans="2:8" x14ac:dyDescent="0.25">
      <c r="B538" s="3" t="s">
        <v>282</v>
      </c>
      <c r="C538" t="str" cm="1">
        <f t="array" ref="C538:E538">_xlfn.TEXTSPLIT(B538, """")</f>
        <v xml:space="preserve">lockOpen = </v>
      </c>
      <c r="D538" t="str">
        <v>LockOpen</v>
      </c>
      <c r="E538" t="str">
        <v/>
      </c>
      <c r="F538" t="e" cm="1" vm="273">
        <f t="array" ref="F538">IF(D538="","",_xldudf_A_ENTICON(D538))</f>
        <v>#VALUE!</v>
      </c>
      <c r="H538" t="s">
        <v>564</v>
      </c>
    </row>
    <row r="539" spans="2:8" x14ac:dyDescent="0.25">
      <c r="B539" s="3"/>
      <c r="C539" t="e" cm="1">
        <f t="array" ref="C539">_xlfn.TEXTSPLIT(B539, """")</f>
        <v>#VALUE!</v>
      </c>
      <c r="F539" t="str" cm="1">
        <f t="array" ref="F539">IF(D539="","",_xldudf_A_ENTICON(D539))</f>
        <v/>
      </c>
      <c r="H539" t="s">
        <v>564</v>
      </c>
    </row>
    <row r="540" spans="2:8" x14ac:dyDescent="0.25">
      <c r="B540" s="3" t="s">
        <v>283</v>
      </c>
      <c r="C540" t="str" cm="1">
        <f t="array" ref="C540:E540">_xlfn.TEXTSPLIT(B540, """")</f>
        <v xml:space="preserve">lottery = </v>
      </c>
      <c r="D540" t="str">
        <v>Lottery</v>
      </c>
      <c r="E540" t="str">
        <v/>
      </c>
      <c r="F540" t="e" cm="1" vm="274">
        <f t="array" ref="F540">IF(D540="","",_xldudf_A_ENTICON(D540))</f>
        <v>#VALUE!</v>
      </c>
      <c r="H540" t="s">
        <v>564</v>
      </c>
    </row>
    <row r="541" spans="2:8" x14ac:dyDescent="0.25">
      <c r="B541" s="3"/>
      <c r="C541" t="e" cm="1">
        <f t="array" ref="C541">_xlfn.TEXTSPLIT(B541, """")</f>
        <v>#VALUE!</v>
      </c>
      <c r="F541" t="str" cm="1">
        <f t="array" ref="F541">IF(D541="","",_xldudf_A_ENTICON(D541))</f>
        <v/>
      </c>
      <c r="H541" t="s">
        <v>564</v>
      </c>
    </row>
    <row r="542" spans="2:8" x14ac:dyDescent="0.25">
      <c r="B542" s="3" t="s">
        <v>284</v>
      </c>
      <c r="C542" t="str" cm="1">
        <f t="array" ref="C542:E542">_xlfn.TEXTSPLIT(B542, """")</f>
        <v xml:space="preserve">luggage = </v>
      </c>
      <c r="D542" t="str">
        <v>Luggage</v>
      </c>
      <c r="E542" t="str">
        <v/>
      </c>
      <c r="F542" t="e" cm="1" vm="275">
        <f t="array" ref="F542">IF(D542="","",_xldudf_A_ENTICON(D542))</f>
        <v>#VALUE!</v>
      </c>
      <c r="H542" t="s">
        <v>564</v>
      </c>
    </row>
    <row r="543" spans="2:8" x14ac:dyDescent="0.25">
      <c r="B543" s="3"/>
      <c r="C543" t="e" cm="1">
        <f t="array" ref="C543">_xlfn.TEXTSPLIT(B543, """")</f>
        <v>#VALUE!</v>
      </c>
      <c r="F543" t="str" cm="1">
        <f t="array" ref="F543">IF(D543="","",_xldudf_A_ENTICON(D543))</f>
        <v/>
      </c>
      <c r="H543" t="s">
        <v>564</v>
      </c>
    </row>
    <row r="544" spans="2:8" x14ac:dyDescent="0.25">
      <c r="B544" s="3" t="s">
        <v>285</v>
      </c>
      <c r="C544" t="str" cm="1">
        <f t="array" ref="C544:E544">_xlfn.TEXTSPLIT(B544, """")</f>
        <v xml:space="preserve">mail = </v>
      </c>
      <c r="D544" t="str">
        <v>Mail</v>
      </c>
      <c r="E544" t="str">
        <v/>
      </c>
      <c r="F544" t="e" cm="1" vm="276">
        <f t="array" ref="F544">IF(D544="","",_xldudf_A_ENTICON(D544))</f>
        <v>#VALUE!</v>
      </c>
      <c r="H544" t="s">
        <v>564</v>
      </c>
    </row>
    <row r="545" spans="2:8" x14ac:dyDescent="0.25">
      <c r="B545" s="3"/>
      <c r="C545" t="e" cm="1">
        <f t="array" ref="C545">_xlfn.TEXTSPLIT(B545, """")</f>
        <v>#VALUE!</v>
      </c>
      <c r="F545" t="str" cm="1">
        <f t="array" ref="F545">IF(D545="","",_xldudf_A_ENTICON(D545))</f>
        <v/>
      </c>
      <c r="H545" t="s">
        <v>564</v>
      </c>
    </row>
    <row r="546" spans="2:8" x14ac:dyDescent="0.25">
      <c r="B546" s="3" t="s">
        <v>286</v>
      </c>
      <c r="C546" t="str" cm="1">
        <f t="array" ref="C546:E546">_xlfn.TEXTSPLIT(B546, """")</f>
        <v xml:space="preserve">mailInbox = </v>
      </c>
      <c r="D546" t="str">
        <v>MailInbox</v>
      </c>
      <c r="E546" t="str">
        <v/>
      </c>
      <c r="F546" t="e" cm="1" vm="277">
        <f t="array" ref="F546">IF(D546="","",_xldudf_A_ENTICON(D546))</f>
        <v>#VALUE!</v>
      </c>
      <c r="H546" t="s">
        <v>564</v>
      </c>
    </row>
    <row r="547" spans="2:8" x14ac:dyDescent="0.25">
      <c r="B547" s="3"/>
      <c r="C547" t="e" cm="1">
        <f t="array" ref="C547">_xlfn.TEXTSPLIT(B547, """")</f>
        <v>#VALUE!</v>
      </c>
      <c r="F547" t="str" cm="1">
        <f t="array" ref="F547">IF(D547="","",_xldudf_A_ENTICON(D547))</f>
        <v/>
      </c>
      <c r="H547" t="s">
        <v>564</v>
      </c>
    </row>
    <row r="548" spans="2:8" x14ac:dyDescent="0.25">
      <c r="B548" s="3" t="s">
        <v>287</v>
      </c>
      <c r="C548" t="str" cm="1">
        <f t="array" ref="C548:E548">_xlfn.TEXTSPLIT(B548, """")</f>
        <v xml:space="preserve">mailMultiple = </v>
      </c>
      <c r="D548" t="str">
        <v>MailMultiple</v>
      </c>
      <c r="E548" t="str">
        <v/>
      </c>
      <c r="F548" t="e" cm="1" vm="278">
        <f t="array" ref="F548">IF(D548="","",_xldudf_A_ENTICON(D548))</f>
        <v>#VALUE!</v>
      </c>
      <c r="H548" t="s">
        <v>564</v>
      </c>
    </row>
    <row r="549" spans="2:8" x14ac:dyDescent="0.25">
      <c r="B549" s="3"/>
      <c r="C549" t="e" cm="1">
        <f t="array" ref="C549">_xlfn.TEXTSPLIT(B549, """")</f>
        <v>#VALUE!</v>
      </c>
      <c r="F549" t="str" cm="1">
        <f t="array" ref="F549">IF(D549="","",_xldudf_A_ENTICON(D549))</f>
        <v/>
      </c>
      <c r="H549" t="s">
        <v>564</v>
      </c>
    </row>
    <row r="550" spans="2:8" x14ac:dyDescent="0.25">
      <c r="B550" s="3" t="s">
        <v>288</v>
      </c>
      <c r="C550" t="str" cm="1">
        <f t="array" ref="C550:E550">_xlfn.TEXTSPLIT(B550, """")</f>
        <v xml:space="preserve">map = </v>
      </c>
      <c r="D550" t="str">
        <v>Map</v>
      </c>
      <c r="E550" t="str">
        <v/>
      </c>
      <c r="F550" t="e" cm="1" vm="279">
        <f t="array" ref="F550">IF(D550="","",_xldudf_A_ENTICON(D550))</f>
        <v>#VALUE!</v>
      </c>
      <c r="H550" t="s">
        <v>564</v>
      </c>
    </row>
    <row r="551" spans="2:8" x14ac:dyDescent="0.25">
      <c r="B551" s="3"/>
      <c r="C551" t="e" cm="1">
        <f t="array" ref="C551">_xlfn.TEXTSPLIT(B551, """")</f>
        <v>#VALUE!</v>
      </c>
      <c r="F551" t="str" cm="1">
        <f t="array" ref="F551">IF(D551="","",_xldudf_A_ENTICON(D551))</f>
        <v/>
      </c>
      <c r="H551" t="e" vm="5">
        <v>#VALUE!</v>
      </c>
    </row>
    <row r="552" spans="2:8" x14ac:dyDescent="0.25">
      <c r="B552" s="3" t="s">
        <v>289</v>
      </c>
      <c r="C552" t="str" cm="1">
        <f t="array" ref="C552:E552">_xlfn.TEXTSPLIT(B552, """")</f>
        <v xml:space="preserve">mapPin = </v>
      </c>
      <c r="D552" t="str">
        <v>MapPin</v>
      </c>
      <c r="E552" t="str">
        <v/>
      </c>
      <c r="F552" t="e" cm="1" vm="280">
        <f t="array" ref="F552">IF(D552="","",_xldudf_A_ENTICON(D552))</f>
        <v>#VALUE!</v>
      </c>
      <c r="H552" t="e" vm="6">
        <v>#VALUE!</v>
      </c>
    </row>
    <row r="553" spans="2:8" x14ac:dyDescent="0.25">
      <c r="B553" s="3"/>
      <c r="C553" t="e" cm="1">
        <f t="array" ref="C553">_xlfn.TEXTSPLIT(B553, """")</f>
        <v>#VALUE!</v>
      </c>
      <c r="F553" t="str" cm="1">
        <f t="array" ref="F553">IF(D553="","",_xldudf_A_ENTICON(D553))</f>
        <v/>
      </c>
      <c r="H553" t="e" vm="7">
        <v>#VALUE!</v>
      </c>
    </row>
    <row r="554" spans="2:8" x14ac:dyDescent="0.25">
      <c r="B554" s="3" t="s">
        <v>290</v>
      </c>
      <c r="C554" t="str" cm="1">
        <f t="array" ref="C554:E554">_xlfn.TEXTSPLIT(B554, """")</f>
        <v xml:space="preserve">markdown = </v>
      </c>
      <c r="D554" t="str">
        <v>Markdown</v>
      </c>
      <c r="E554" t="str">
        <v/>
      </c>
      <c r="F554" t="e" cm="1" vm="281">
        <f t="array" ref="F554">IF(D554="","",_xldudf_A_ENTICON(D554))</f>
        <v>#VALUE!</v>
      </c>
      <c r="H554" t="e" vm="8">
        <v>#VALUE!</v>
      </c>
    </row>
    <row r="555" spans="2:8" x14ac:dyDescent="0.25">
      <c r="B555" s="3"/>
      <c r="C555" t="e" cm="1">
        <f t="array" ref="C555">_xlfn.TEXTSPLIT(B555, """")</f>
        <v>#VALUE!</v>
      </c>
      <c r="F555" t="str" cm="1">
        <f t="array" ref="F555">IF(D555="","",_xldudf_A_ENTICON(D555))</f>
        <v/>
      </c>
      <c r="H555" t="e" vm="9">
        <v>#VALUE!</v>
      </c>
    </row>
    <row r="556" spans="2:8" x14ac:dyDescent="0.25">
      <c r="B556" s="3" t="s">
        <v>291</v>
      </c>
      <c r="C556" t="str" cm="1">
        <f t="array" ref="C556:E556">_xlfn.TEXTSPLIT(B556, """")</f>
        <v xml:space="preserve">mathFormula = </v>
      </c>
      <c r="D556" t="str">
        <v>MathFormula</v>
      </c>
      <c r="E556" t="str">
        <v/>
      </c>
      <c r="F556" t="e" cm="1" vm="282">
        <f t="array" ref="F556">IF(D556="","",_xldudf_A_ENTICON(D556))</f>
        <v>#VALUE!</v>
      </c>
      <c r="H556" t="e" vm="10">
        <v>#VALUE!</v>
      </c>
    </row>
    <row r="557" spans="2:8" x14ac:dyDescent="0.25">
      <c r="B557" s="3"/>
      <c r="C557" t="e" cm="1">
        <f t="array" ref="C557">_xlfn.TEXTSPLIT(B557, """")</f>
        <v>#VALUE!</v>
      </c>
      <c r="F557" t="str" cm="1">
        <f t="array" ref="F557">IF(D557="","",_xldudf_A_ENTICON(D557))</f>
        <v/>
      </c>
      <c r="H557" t="e" vm="11">
        <v>#VALUE!</v>
      </c>
    </row>
    <row r="558" spans="2:8" x14ac:dyDescent="0.25">
      <c r="B558" s="3" t="s">
        <v>292</v>
      </c>
      <c r="C558" t="str" cm="1">
        <f t="array" ref="C558:E558">_xlfn.TEXTSPLIT(B558, """")</f>
        <v xml:space="preserve">mathSymbols = </v>
      </c>
      <c r="D558" t="str">
        <v>MathSymbols</v>
      </c>
      <c r="E558" t="str">
        <v/>
      </c>
      <c r="F558" t="e" cm="1" vm="283">
        <f t="array" ref="F558">IF(D558="","",_xldudf_A_ENTICON(D558))</f>
        <v>#VALUE!</v>
      </c>
      <c r="H558" t="e" vm="12">
        <v>#VALUE!</v>
      </c>
    </row>
    <row r="559" spans="2:8" x14ac:dyDescent="0.25">
      <c r="B559" s="3"/>
      <c r="C559" t="e" cm="1">
        <f t="array" ref="C559">_xlfn.TEXTSPLIT(B559, """")</f>
        <v>#VALUE!</v>
      </c>
      <c r="F559" t="str" cm="1">
        <f t="array" ref="F559">IF(D559="","",_xldudf_A_ENTICON(D559))</f>
        <v/>
      </c>
      <c r="H559" t="e" vm="13">
        <v>#VALUE!</v>
      </c>
    </row>
    <row r="560" spans="2:8" x14ac:dyDescent="0.25">
      <c r="B560" s="3" t="s">
        <v>293</v>
      </c>
      <c r="C560" t="str" cm="1">
        <f t="array" ref="C560:E560">_xlfn.TEXTSPLIT(B560, """")</f>
        <v xml:space="preserve">max = </v>
      </c>
      <c r="D560" t="str">
        <v>Max</v>
      </c>
      <c r="E560" t="str">
        <v/>
      </c>
      <c r="F560" t="e" cm="1" vm="284">
        <f t="array" ref="F560">IF(D560="","",_xldudf_A_ENTICON(D560))</f>
        <v>#VALUE!</v>
      </c>
      <c r="H560" t="e" vm="14">
        <v>#VALUE!</v>
      </c>
    </row>
    <row r="561" spans="2:8" x14ac:dyDescent="0.25">
      <c r="B561" s="3"/>
      <c r="C561" t="e" cm="1">
        <f t="array" ref="C561">_xlfn.TEXTSPLIT(B561, """")</f>
        <v>#VALUE!</v>
      </c>
      <c r="F561" t="str" cm="1">
        <f t="array" ref="F561">IF(D561="","",_xldudf_A_ENTICON(D561))</f>
        <v/>
      </c>
      <c r="H561" t="e" vm="15">
        <v>#VALUE!</v>
      </c>
    </row>
    <row r="562" spans="2:8" x14ac:dyDescent="0.25">
      <c r="B562" s="3" t="s">
        <v>294</v>
      </c>
      <c r="C562" t="str" cm="1">
        <f t="array" ref="C562:E562">_xlfn.TEXTSPLIT(B562, """")</f>
        <v xml:space="preserve">megaphone = </v>
      </c>
      <c r="D562" t="str">
        <v>Megaphone</v>
      </c>
      <c r="E562" t="str">
        <v/>
      </c>
      <c r="F562" t="e" cm="1" vm="285">
        <f t="array" ref="F562">IF(D562="","",_xldudf_A_ENTICON(D562))</f>
        <v>#VALUE!</v>
      </c>
      <c r="H562" t="e" vm="16">
        <v>#VALUE!</v>
      </c>
    </row>
    <row r="563" spans="2:8" x14ac:dyDescent="0.25">
      <c r="B563" s="3"/>
      <c r="C563" t="e" cm="1">
        <f t="array" ref="C563">_xlfn.TEXTSPLIT(B563, """")</f>
        <v>#VALUE!</v>
      </c>
      <c r="F563" t="str" cm="1">
        <f t="array" ref="F563">IF(D563="","",_xldudf_A_ENTICON(D563))</f>
        <v/>
      </c>
      <c r="H563" t="e" vm="17">
        <v>#VALUE!</v>
      </c>
    </row>
    <row r="564" spans="2:8" x14ac:dyDescent="0.25">
      <c r="B564" s="3" t="s">
        <v>295</v>
      </c>
      <c r="C564" t="str" cm="1">
        <f t="array" ref="C564:E564">_xlfn.TEXTSPLIT(B564, """")</f>
        <v xml:space="preserve">megaphoneLoud = </v>
      </c>
      <c r="D564" t="str">
        <v>MegaphoneLoud</v>
      </c>
      <c r="E564" t="str">
        <v/>
      </c>
      <c r="F564" t="e" cm="1" vm="286">
        <f t="array" ref="F564">IF(D564="","",_xldudf_A_ENTICON(D564))</f>
        <v>#VALUE!</v>
      </c>
      <c r="H564" t="e" vm="18">
        <v>#VALUE!</v>
      </c>
    </row>
    <row r="565" spans="2:8" x14ac:dyDescent="0.25">
      <c r="B565" s="3"/>
      <c r="C565" t="e" cm="1">
        <f t="array" ref="C565">_xlfn.TEXTSPLIT(B565, """")</f>
        <v>#VALUE!</v>
      </c>
      <c r="F565" t="str" cm="1">
        <f t="array" ref="F565">IF(D565="","",_xldudf_A_ENTICON(D565))</f>
        <v/>
      </c>
      <c r="H565" t="e" vm="19">
        <v>#VALUE!</v>
      </c>
    </row>
    <row r="566" spans="2:8" x14ac:dyDescent="0.25">
      <c r="B566" s="3" t="s">
        <v>296</v>
      </c>
      <c r="C566" t="str" cm="1">
        <f t="array" ref="C566:E566">_xlfn.TEXTSPLIT(B566, """")</f>
        <v xml:space="preserve">mention = </v>
      </c>
      <c r="D566" t="str">
        <v>Mention</v>
      </c>
      <c r="E566" t="str">
        <v/>
      </c>
      <c r="F566" t="e" cm="1" vm="287">
        <f t="array" ref="F566">IF(D566="","",_xldudf_A_ENTICON(D566))</f>
        <v>#VALUE!</v>
      </c>
      <c r="H566" t="e" vm="20">
        <v>#VALUE!</v>
      </c>
    </row>
    <row r="567" spans="2:8" x14ac:dyDescent="0.25">
      <c r="B567" s="3"/>
      <c r="C567" t="e" cm="1">
        <f t="array" ref="C567">_xlfn.TEXTSPLIT(B567, """")</f>
        <v>#VALUE!</v>
      </c>
      <c r="F567" t="str" cm="1">
        <f t="array" ref="F567">IF(D567="","",_xldudf_A_ENTICON(D567))</f>
        <v/>
      </c>
      <c r="H567" t="e" vm="21">
        <v>#VALUE!</v>
      </c>
    </row>
    <row r="568" spans="2:8" x14ac:dyDescent="0.25">
      <c r="B568" s="3" t="s">
        <v>297</v>
      </c>
      <c r="C568" t="str" cm="1">
        <f t="array" ref="C568:E568">_xlfn.TEXTSPLIT(B568, """")</f>
        <v xml:space="preserve">mic = </v>
      </c>
      <c r="D568" t="str">
        <v>Mic</v>
      </c>
      <c r="E568" t="str">
        <v/>
      </c>
      <c r="F568" t="e" cm="1" vm="288">
        <f t="array" ref="F568">IF(D568="","",_xldudf_A_ENTICON(D568))</f>
        <v>#VALUE!</v>
      </c>
      <c r="H568" t="e" vm="22">
        <v>#VALUE!</v>
      </c>
    </row>
    <row r="569" spans="2:8" x14ac:dyDescent="0.25">
      <c r="B569" s="3"/>
      <c r="C569" t="e" cm="1">
        <f t="array" ref="C569">_xlfn.TEXTSPLIT(B569, """")</f>
        <v>#VALUE!</v>
      </c>
      <c r="F569" t="str" cm="1">
        <f t="array" ref="F569">IF(D569="","",_xldudf_A_ENTICON(D569))</f>
        <v/>
      </c>
      <c r="H569" t="e" vm="23">
        <v>#VALUE!</v>
      </c>
    </row>
    <row r="570" spans="2:8" x14ac:dyDescent="0.25">
      <c r="B570" s="3" t="s">
        <v>298</v>
      </c>
      <c r="C570" t="str" cm="1">
        <f t="array" ref="C570:E570">_xlfn.TEXTSPLIT(B570, """")</f>
        <v xml:space="preserve">microscope = </v>
      </c>
      <c r="D570" t="str">
        <v>Microscope</v>
      </c>
      <c r="E570" t="str">
        <v/>
      </c>
      <c r="F570" t="e" cm="1" vm="289">
        <f t="array" ref="F570">IF(D570="","",_xldudf_A_ENTICON(D570))</f>
        <v>#VALUE!</v>
      </c>
      <c r="H570" t="e" vm="24">
        <v>#VALUE!</v>
      </c>
    </row>
    <row r="571" spans="2:8" x14ac:dyDescent="0.25">
      <c r="B571" s="3"/>
      <c r="C571" t="e" cm="1">
        <f t="array" ref="C571">_xlfn.TEXTSPLIT(B571, """")</f>
        <v>#VALUE!</v>
      </c>
      <c r="F571" t="str" cm="1">
        <f t="array" ref="F571">IF(D571="","",_xldudf_A_ENTICON(D571))</f>
        <v/>
      </c>
      <c r="H571" t="e" vm="25">
        <v>#VALUE!</v>
      </c>
    </row>
    <row r="572" spans="2:8" x14ac:dyDescent="0.25">
      <c r="B572" s="3" t="s">
        <v>299</v>
      </c>
      <c r="C572" t="str" cm="1">
        <f t="array" ref="C572:E572">_xlfn.TEXTSPLIT(B572, """")</f>
        <v xml:space="preserve">midi = </v>
      </c>
      <c r="D572" t="str">
        <v>Midi</v>
      </c>
      <c r="E572" t="str">
        <v/>
      </c>
      <c r="F572" t="e" cm="1" vm="290">
        <f t="array" ref="F572">IF(D572="","",_xldudf_A_ENTICON(D572))</f>
        <v>#VALUE!</v>
      </c>
      <c r="H572" t="e" vm="26">
        <v>#VALUE!</v>
      </c>
    </row>
    <row r="573" spans="2:8" x14ac:dyDescent="0.25">
      <c r="B573" s="3"/>
      <c r="C573" t="e" cm="1">
        <f t="array" ref="C573">_xlfn.TEXTSPLIT(B573, """")</f>
        <v>#VALUE!</v>
      </c>
      <c r="F573" t="str" cm="1">
        <f t="array" ref="F573">IF(D573="","",_xldudf_A_ENTICON(D573))</f>
        <v/>
      </c>
      <c r="H573" t="e" vm="27">
        <v>#VALUE!</v>
      </c>
    </row>
    <row r="574" spans="2:8" x14ac:dyDescent="0.25">
      <c r="B574" s="3" t="s">
        <v>300</v>
      </c>
      <c r="C574" t="str" cm="1">
        <f t="array" ref="C574:E574">_xlfn.TEXTSPLIT(B574, """")</f>
        <v xml:space="preserve">molecule = </v>
      </c>
      <c r="D574" t="str">
        <v>Molecule</v>
      </c>
      <c r="E574" t="str">
        <v/>
      </c>
      <c r="F574" t="e" cm="1" vm="291">
        <f t="array" ref="F574">IF(D574="","",_xldudf_A_ENTICON(D574))</f>
        <v>#VALUE!</v>
      </c>
      <c r="H574" t="e" vm="28">
        <v>#VALUE!</v>
      </c>
    </row>
    <row r="575" spans="2:8" x14ac:dyDescent="0.25">
      <c r="B575" s="3"/>
      <c r="C575" t="e" cm="1">
        <f t="array" ref="C575">_xlfn.TEXTSPLIT(B575, """")</f>
        <v>#VALUE!</v>
      </c>
      <c r="F575" t="str" cm="1">
        <f t="array" ref="F575">IF(D575="","",_xldudf_A_ENTICON(D575))</f>
        <v/>
      </c>
      <c r="H575" t="e" vm="29">
        <v>#VALUE!</v>
      </c>
    </row>
    <row r="576" spans="2:8" x14ac:dyDescent="0.25">
      <c r="B576" s="3" t="s">
        <v>301</v>
      </c>
      <c r="C576" t="str" cm="1">
        <f t="array" ref="C576:E576">_xlfn.TEXTSPLIT(B576, """")</f>
        <v xml:space="preserve">money = </v>
      </c>
      <c r="D576" t="str">
        <v>Money</v>
      </c>
      <c r="E576" t="str">
        <v/>
      </c>
      <c r="F576" t="e" cm="1" vm="292">
        <f t="array" ref="F576">IF(D576="","",_xldudf_A_ENTICON(D576))</f>
        <v>#VALUE!</v>
      </c>
      <c r="H576" t="e" vm="30">
        <v>#VALUE!</v>
      </c>
    </row>
    <row r="577" spans="2:8" x14ac:dyDescent="0.25">
      <c r="B577" s="3"/>
      <c r="C577" t="e" cm="1">
        <f t="array" ref="C577">_xlfn.TEXTSPLIT(B577, """")</f>
        <v>#VALUE!</v>
      </c>
      <c r="F577" t="str" cm="1">
        <f t="array" ref="F577">IF(D577="","",_xldudf_A_ENTICON(D577))</f>
        <v/>
      </c>
      <c r="H577" t="e" vm="31">
        <v>#VALUE!</v>
      </c>
    </row>
    <row r="578" spans="2:8" x14ac:dyDescent="0.25">
      <c r="B578" s="3" t="s">
        <v>302</v>
      </c>
      <c r="C578" t="str" cm="1">
        <f t="array" ref="C578:E578">_xlfn.TEXTSPLIT(B578, """")</f>
        <v xml:space="preserve">moneyHand = </v>
      </c>
      <c r="D578" t="str">
        <v>MoneyHand</v>
      </c>
      <c r="E578" t="str">
        <v/>
      </c>
      <c r="F578" t="e" cm="1" vm="293">
        <f t="array" ref="F578">IF(D578="","",_xldudf_A_ENTICON(D578))</f>
        <v>#VALUE!</v>
      </c>
      <c r="H578" t="e" vm="32">
        <v>#VALUE!</v>
      </c>
    </row>
    <row r="579" spans="2:8" x14ac:dyDescent="0.25">
      <c r="B579" s="3"/>
      <c r="C579" t="e" cm="1">
        <f t="array" ref="C579">_xlfn.TEXTSPLIT(B579, """")</f>
        <v>#VALUE!</v>
      </c>
      <c r="F579" t="str" cm="1">
        <f t="array" ref="F579">IF(D579="","",_xldudf_A_ENTICON(D579))</f>
        <v/>
      </c>
      <c r="H579" t="e" vm="33">
        <v>#VALUE!</v>
      </c>
    </row>
    <row r="580" spans="2:8" x14ac:dyDescent="0.25">
      <c r="B580" s="3" t="s">
        <v>303</v>
      </c>
      <c r="C580" t="str" cm="1">
        <f t="array" ref="C580:E580">_xlfn.TEXTSPLIT(B580, """")</f>
        <v xml:space="preserve">mountain = </v>
      </c>
      <c r="D580" t="str">
        <v>Mountain</v>
      </c>
      <c r="E580" t="str">
        <v/>
      </c>
      <c r="F580" t="e" cm="1" vm="294">
        <f t="array" ref="F580">IF(D580="","",_xldudf_A_ENTICON(D580))</f>
        <v>#VALUE!</v>
      </c>
      <c r="H580" t="e" vm="34">
        <v>#VALUE!</v>
      </c>
    </row>
    <row r="581" spans="2:8" x14ac:dyDescent="0.25">
      <c r="B581" s="3"/>
      <c r="C581" t="e" cm="1">
        <f t="array" ref="C581">_xlfn.TEXTSPLIT(B581, """")</f>
        <v>#VALUE!</v>
      </c>
      <c r="F581" t="str" cm="1">
        <f t="array" ref="F581">IF(D581="","",_xldudf_A_ENTICON(D581))</f>
        <v/>
      </c>
      <c r="H581" t="e" vm="35">
        <v>#VALUE!</v>
      </c>
    </row>
    <row r="582" spans="2:8" x14ac:dyDescent="0.25">
      <c r="B582" s="3" t="s">
        <v>304</v>
      </c>
      <c r="C582" t="str" cm="1">
        <f t="array" ref="C582:E582">_xlfn.TEXTSPLIT(B582, """")</f>
        <v xml:space="preserve">movieCamera = </v>
      </c>
      <c r="D582" t="str">
        <v>MovieCamera</v>
      </c>
      <c r="E582" t="str">
        <v/>
      </c>
      <c r="F582" t="e" cm="1" vm="295">
        <f t="array" ref="F582">IF(D582="","",_xldudf_A_ENTICON(D582))</f>
        <v>#VALUE!</v>
      </c>
      <c r="H582" t="e" vm="36">
        <v>#VALUE!</v>
      </c>
    </row>
    <row r="583" spans="2:8" x14ac:dyDescent="0.25">
      <c r="B583" s="3"/>
      <c r="C583" t="e" cm="1">
        <f t="array" ref="C583">_xlfn.TEXTSPLIT(B583, """")</f>
        <v>#VALUE!</v>
      </c>
      <c r="F583" t="str" cm="1">
        <f t="array" ref="F583">IF(D583="","",_xldudf_A_ENTICON(D583))</f>
        <v/>
      </c>
      <c r="H583" t="e" vm="37">
        <v>#VALUE!</v>
      </c>
    </row>
    <row r="584" spans="2:8" x14ac:dyDescent="0.25">
      <c r="B584" s="3" t="s">
        <v>305</v>
      </c>
      <c r="C584" t="str" cm="1">
        <f t="array" ref="C584:E584">_xlfn.TEXTSPLIT(B584, """")</f>
        <v xml:space="preserve">moviesAndTv = </v>
      </c>
      <c r="D584" t="str">
        <v>MoviesAndTv</v>
      </c>
      <c r="E584" t="str">
        <v/>
      </c>
      <c r="F584" t="e" cm="1" vm="296">
        <f t="array" ref="F584">IF(D584="","",_xldudf_A_ENTICON(D584))</f>
        <v>#VALUE!</v>
      </c>
      <c r="H584" t="e" vm="38">
        <v>#VALUE!</v>
      </c>
    </row>
    <row r="585" spans="2:8" x14ac:dyDescent="0.25">
      <c r="B585" s="3"/>
      <c r="C585" t="e" cm="1">
        <f t="array" ref="C585">_xlfn.TEXTSPLIT(B585, """")</f>
        <v>#VALUE!</v>
      </c>
      <c r="F585" t="str" cm="1">
        <f t="array" ref="F585">IF(D585="","",_xldudf_A_ENTICON(D585))</f>
        <v/>
      </c>
      <c r="H585" t="e" vm="39">
        <v>#VALUE!</v>
      </c>
    </row>
    <row r="586" spans="2:8" x14ac:dyDescent="0.25">
      <c r="B586" s="3" t="s">
        <v>306</v>
      </c>
      <c r="C586" t="str" cm="1">
        <f t="array" ref="C586:E586">_xlfn.TEXTSPLIT(B586, """")</f>
        <v xml:space="preserve">musicNote = </v>
      </c>
      <c r="D586" t="str">
        <v>MusicNote</v>
      </c>
      <c r="E586" t="str">
        <v/>
      </c>
      <c r="F586" t="e" cm="1" vm="297">
        <f t="array" ref="F586">IF(D586="","",_xldudf_A_ENTICON(D586))</f>
        <v>#VALUE!</v>
      </c>
      <c r="H586" t="e" vm="40">
        <v>#VALUE!</v>
      </c>
    </row>
    <row r="587" spans="2:8" x14ac:dyDescent="0.25">
      <c r="B587" s="3"/>
      <c r="C587" t="e" cm="1">
        <f t="array" ref="C587">_xlfn.TEXTSPLIT(B587, """")</f>
        <v>#VALUE!</v>
      </c>
      <c r="F587" t="str" cm="1">
        <f t="array" ref="F587">IF(D587="","",_xldudf_A_ENTICON(D587))</f>
        <v/>
      </c>
      <c r="H587" t="e" vm="41">
        <v>#VALUE!</v>
      </c>
    </row>
    <row r="588" spans="2:8" x14ac:dyDescent="0.25">
      <c r="B588" s="3" t="s">
        <v>307</v>
      </c>
      <c r="C588" t="str" cm="1">
        <f t="array" ref="C588:E588">_xlfn.TEXTSPLIT(B588, """")</f>
        <v xml:space="preserve">musicNote1 = </v>
      </c>
      <c r="D588" t="str">
        <v>MusicNote1</v>
      </c>
      <c r="E588" t="str">
        <v/>
      </c>
      <c r="F588" t="e" cm="1" vm="298">
        <f t="array" ref="F588">IF(D588="","",_xldudf_A_ENTICON(D588))</f>
        <v>#VALUE!</v>
      </c>
      <c r="H588" t="e" vm="42">
        <v>#VALUE!</v>
      </c>
    </row>
    <row r="589" spans="2:8" x14ac:dyDescent="0.25">
      <c r="B589" s="3"/>
      <c r="C589" t="e" cm="1">
        <f t="array" ref="C589">_xlfn.TEXTSPLIT(B589, """")</f>
        <v>#VALUE!</v>
      </c>
      <c r="F589" t="str" cm="1">
        <f t="array" ref="F589">IF(D589="","",_xldudf_A_ENTICON(D589))</f>
        <v/>
      </c>
      <c r="H589" t="e" vm="43">
        <v>#VALUE!</v>
      </c>
    </row>
    <row r="590" spans="2:8" x14ac:dyDescent="0.25">
      <c r="B590" s="3" t="s">
        <v>308</v>
      </c>
      <c r="C590" t="str" cm="1">
        <f t="array" ref="C590:E590">_xlfn.TEXTSPLIT(B590, """")</f>
        <v xml:space="preserve">musicNote2 = </v>
      </c>
      <c r="D590" t="str">
        <v>MusicNote2</v>
      </c>
      <c r="E590" t="str">
        <v/>
      </c>
      <c r="F590" t="e" cm="1" vm="299">
        <f t="array" ref="F590">IF(D590="","",_xldudf_A_ENTICON(D590))</f>
        <v>#VALUE!</v>
      </c>
      <c r="H590" t="e" vm="44">
        <v>#VALUE!</v>
      </c>
    </row>
    <row r="591" spans="2:8" x14ac:dyDescent="0.25">
      <c r="B591" s="3"/>
      <c r="C591" t="e" cm="1">
        <f t="array" ref="C591">_xlfn.TEXTSPLIT(B591, """")</f>
        <v>#VALUE!</v>
      </c>
      <c r="F591" t="str" cm="1">
        <f t="array" ref="F591">IF(D591="","",_xldudf_A_ENTICON(D591))</f>
        <v/>
      </c>
      <c r="H591" t="e" vm="45">
        <v>#VALUE!</v>
      </c>
    </row>
    <row r="592" spans="2:8" x14ac:dyDescent="0.25">
      <c r="B592" s="3" t="s">
        <v>309</v>
      </c>
      <c r="C592" t="str" cm="1">
        <f t="array" ref="C592:E592">_xlfn.TEXTSPLIT(B592, """")</f>
        <v xml:space="preserve">myLocation = </v>
      </c>
      <c r="D592" t="str">
        <v>MyLocation</v>
      </c>
      <c r="E592" t="str">
        <v/>
      </c>
      <c r="F592" t="e" cm="1" vm="300">
        <f t="array" ref="F592">IF(D592="","",_xldudf_A_ENTICON(D592))</f>
        <v>#VALUE!</v>
      </c>
      <c r="H592" t="e" vm="46">
        <v>#VALUE!</v>
      </c>
    </row>
    <row r="593" spans="2:8" x14ac:dyDescent="0.25">
      <c r="B593" s="3"/>
      <c r="C593" t="e" cm="1">
        <f t="array" ref="C593">_xlfn.TEXTSPLIT(B593, """")</f>
        <v>#VALUE!</v>
      </c>
      <c r="F593" t="str" cm="1">
        <f t="array" ref="F593">IF(D593="","",_xldudf_A_ENTICON(D593))</f>
        <v/>
      </c>
      <c r="H593" t="e" vm="47">
        <v>#VALUE!</v>
      </c>
    </row>
    <row r="594" spans="2:8" x14ac:dyDescent="0.25">
      <c r="B594" s="3" t="s">
        <v>310</v>
      </c>
      <c r="C594" t="str" cm="1">
        <f t="array" ref="C594:E594">_xlfn.TEXTSPLIT(B594, """")</f>
        <v xml:space="preserve">nByN = </v>
      </c>
      <c r="D594" t="str">
        <v>NByN</v>
      </c>
      <c r="E594" t="str">
        <v/>
      </c>
      <c r="F594" t="e" cm="1" vm="301">
        <f t="array" ref="F594">IF(D594="","",_xldudf_A_ENTICON(D594))</f>
        <v>#VALUE!</v>
      </c>
      <c r="H594" t="e" vm="48">
        <v>#VALUE!</v>
      </c>
    </row>
    <row r="595" spans="2:8" x14ac:dyDescent="0.25">
      <c r="B595" s="3"/>
      <c r="C595" t="e" cm="1">
        <f t="array" ref="C595">_xlfn.TEXTSPLIT(B595, """")</f>
        <v>#VALUE!</v>
      </c>
      <c r="F595" t="str" cm="1">
        <f t="array" ref="F595">IF(D595="","",_xldudf_A_ENTICON(D595))</f>
        <v/>
      </c>
      <c r="H595" t="e" vm="49">
        <v>#VALUE!</v>
      </c>
    </row>
    <row r="596" spans="2:8" x14ac:dyDescent="0.25">
      <c r="B596" s="3" t="s">
        <v>311</v>
      </c>
      <c r="C596" t="str" cm="1">
        <f t="array" ref="C596:E596">_xlfn.TEXTSPLIT(B596, """")</f>
        <v xml:space="preserve">nByOne = </v>
      </c>
      <c r="D596" t="str">
        <v>NByOne</v>
      </c>
      <c r="E596" t="str">
        <v/>
      </c>
      <c r="F596" t="e" cm="1" vm="302">
        <f t="array" ref="F596">IF(D596="","",_xldudf_A_ENTICON(D596))</f>
        <v>#VALUE!</v>
      </c>
      <c r="H596" t="e" vm="50">
        <v>#VALUE!</v>
      </c>
    </row>
    <row r="597" spans="2:8" x14ac:dyDescent="0.25">
      <c r="B597" s="3"/>
      <c r="C597" t="e" cm="1">
        <f t="array" ref="C597">_xlfn.TEXTSPLIT(B597, """")</f>
        <v>#VALUE!</v>
      </c>
      <c r="F597" t="str" cm="1">
        <f t="array" ref="F597">IF(D597="","",_xldudf_A_ENTICON(D597))</f>
        <v/>
      </c>
      <c r="H597" t="e" vm="51">
        <v>#VALUE!</v>
      </c>
    </row>
    <row r="598" spans="2:8" x14ac:dyDescent="0.25">
      <c r="B598" s="3" t="s">
        <v>312</v>
      </c>
      <c r="C598" t="str" cm="1">
        <f t="array" ref="C598:E598">_xlfn.TEXTSPLIT(B598, """")</f>
        <v xml:space="preserve">news = </v>
      </c>
      <c r="D598" t="str">
        <v>News</v>
      </c>
      <c r="E598" t="str">
        <v/>
      </c>
      <c r="F598" t="e" cm="1" vm="303">
        <f t="array" ref="F598">IF(D598="","",_xldudf_A_ENTICON(D598))</f>
        <v>#VALUE!</v>
      </c>
      <c r="H598" t="e" vm="52">
        <v>#VALUE!</v>
      </c>
    </row>
    <row r="599" spans="2:8" x14ac:dyDescent="0.25">
      <c r="B599" s="3"/>
      <c r="C599" t="e" cm="1">
        <f t="array" ref="C599">_xlfn.TEXTSPLIT(B599, """")</f>
        <v>#VALUE!</v>
      </c>
      <c r="F599" t="str" cm="1">
        <f t="array" ref="F599">IF(D599="","",_xldudf_A_ENTICON(D599))</f>
        <v/>
      </c>
      <c r="H599" t="e" vm="53">
        <v>#VALUE!</v>
      </c>
    </row>
    <row r="600" spans="2:8" x14ac:dyDescent="0.25">
      <c r="B600" s="3" t="s">
        <v>313</v>
      </c>
      <c r="C600" t="str" cm="1">
        <f t="array" ref="C600:E600">_xlfn.TEXTSPLIT(B600, """")</f>
        <v xml:space="preserve">notablePeople = </v>
      </c>
      <c r="D600" t="str">
        <v>NotablePeople</v>
      </c>
      <c r="E600" t="str">
        <v/>
      </c>
      <c r="F600" t="e" cm="1" vm="304">
        <f t="array" ref="F600">IF(D600="","",_xldudf_A_ENTICON(D600))</f>
        <v>#VALUE!</v>
      </c>
      <c r="H600" t="e" vm="54">
        <v>#VALUE!</v>
      </c>
    </row>
    <row r="601" spans="2:8" x14ac:dyDescent="0.25">
      <c r="B601" s="3"/>
      <c r="C601" t="e" cm="1">
        <f t="array" ref="C601">_xlfn.TEXTSPLIT(B601, """")</f>
        <v>#VALUE!</v>
      </c>
      <c r="F601" t="str" cm="1">
        <f t="array" ref="F601">IF(D601="","",_xldudf_A_ENTICON(D601))</f>
        <v/>
      </c>
      <c r="H601" t="e" vm="55">
        <v>#VALUE!</v>
      </c>
    </row>
    <row r="602" spans="2:8" x14ac:dyDescent="0.25">
      <c r="B602" s="3" t="s">
        <v>314</v>
      </c>
      <c r="C602" t="str" cm="1">
        <f t="array" ref="C602:E602">_xlfn.TEXTSPLIT(B602, """")</f>
        <v xml:space="preserve">note = </v>
      </c>
      <c r="D602" t="str">
        <v>Note</v>
      </c>
      <c r="E602" t="str">
        <v/>
      </c>
      <c r="F602" t="e" cm="1" vm="305">
        <f t="array" ref="F602">IF(D602="","",_xldudf_A_ENTICON(D602))</f>
        <v>#VALUE!</v>
      </c>
      <c r="H602" t="e" vm="56">
        <v>#VALUE!</v>
      </c>
    </row>
    <row r="603" spans="2:8" x14ac:dyDescent="0.25">
      <c r="B603" s="3"/>
      <c r="C603" t="e" cm="1">
        <f t="array" ref="C603">_xlfn.TEXTSPLIT(B603, """")</f>
        <v>#VALUE!</v>
      </c>
      <c r="F603" t="str" cm="1">
        <f t="array" ref="F603">IF(D603="","",_xldudf_A_ENTICON(D603))</f>
        <v/>
      </c>
      <c r="H603" t="e" vm="57">
        <v>#VALUE!</v>
      </c>
    </row>
    <row r="604" spans="2:8" x14ac:dyDescent="0.25">
      <c r="B604" s="3" t="s">
        <v>315</v>
      </c>
      <c r="C604" t="str" cm="1">
        <f t="array" ref="C604:E604">_xlfn.TEXTSPLIT(B604, """")</f>
        <v xml:space="preserve">notebook = </v>
      </c>
      <c r="D604" t="str">
        <v>Notebook</v>
      </c>
      <c r="E604" t="str">
        <v/>
      </c>
      <c r="F604" t="e" cm="1" vm="306">
        <f t="array" ref="F604">IF(D604="","",_xldudf_A_ENTICON(D604))</f>
        <v>#VALUE!</v>
      </c>
      <c r="H604" t="e" vm="58">
        <v>#VALUE!</v>
      </c>
    </row>
    <row r="605" spans="2:8" x14ac:dyDescent="0.25">
      <c r="B605" s="3"/>
      <c r="C605" t="e" cm="1">
        <f t="array" ref="C605">_xlfn.TEXTSPLIT(B605, """")</f>
        <v>#VALUE!</v>
      </c>
      <c r="F605" t="str" cm="1">
        <f t="array" ref="F605">IF(D605="","",_xldudf_A_ENTICON(D605))</f>
        <v/>
      </c>
      <c r="H605" t="e" vm="59">
        <v>#VALUE!</v>
      </c>
    </row>
    <row r="606" spans="2:8" x14ac:dyDescent="0.25">
      <c r="B606" s="3" t="s">
        <v>316</v>
      </c>
      <c r="C606" t="str" cm="1">
        <f t="array" ref="C606:E606">_xlfn.TEXTSPLIT(B606, """")</f>
        <v xml:space="preserve">notepad = </v>
      </c>
      <c r="D606" t="str">
        <v>Notepad</v>
      </c>
      <c r="E606" t="str">
        <v/>
      </c>
      <c r="F606" t="e" cm="1" vm="307">
        <f t="array" ref="F606">IF(D606="","",_xldudf_A_ENTICON(D606))</f>
        <v>#VALUE!</v>
      </c>
      <c r="H606" t="e" vm="60">
        <v>#VALUE!</v>
      </c>
    </row>
    <row r="607" spans="2:8" x14ac:dyDescent="0.25">
      <c r="B607" s="3"/>
      <c r="C607" t="e" cm="1">
        <f t="array" ref="C607">_xlfn.TEXTSPLIT(B607, """")</f>
        <v>#VALUE!</v>
      </c>
      <c r="F607" t="str" cm="1">
        <f t="array" ref="F607">IF(D607="","",_xldudf_A_ENTICON(D607))</f>
        <v/>
      </c>
      <c r="H607" t="e" vm="61">
        <v>#VALUE!</v>
      </c>
    </row>
    <row r="608" spans="2:8" x14ac:dyDescent="0.25">
      <c r="B608" s="3" t="s">
        <v>317</v>
      </c>
      <c r="C608" t="str" cm="1">
        <f t="array" ref="C608:E608">_xlfn.TEXTSPLIT(B608, """")</f>
        <v xml:space="preserve">notepadPerson = </v>
      </c>
      <c r="D608" t="str">
        <v>NotepadPerson</v>
      </c>
      <c r="E608" t="str">
        <v/>
      </c>
      <c r="F608" t="e" cm="1" vm="308">
        <f t="array" ref="F608">IF(D608="","",_xldudf_A_ENTICON(D608))</f>
        <v>#VALUE!</v>
      </c>
      <c r="H608" t="e" vm="62">
        <v>#VALUE!</v>
      </c>
    </row>
    <row r="609" spans="2:8" x14ac:dyDescent="0.25">
      <c r="B609" s="3"/>
      <c r="C609" t="e" cm="1">
        <f t="array" ref="C609">_xlfn.TEXTSPLIT(B609, """")</f>
        <v>#VALUE!</v>
      </c>
      <c r="F609" t="str" cm="1">
        <f t="array" ref="F609">IF(D609="","",_xldudf_A_ENTICON(D609))</f>
        <v/>
      </c>
      <c r="H609" t="e" vm="63">
        <v>#VALUE!</v>
      </c>
    </row>
    <row r="610" spans="2:8" x14ac:dyDescent="0.25">
      <c r="B610" s="3" t="s">
        <v>318</v>
      </c>
      <c r="C610" t="str" cm="1">
        <f t="array" ref="C610:E610">_xlfn.TEXTSPLIT(B610, """")</f>
        <v xml:space="preserve">oneByN = </v>
      </c>
      <c r="D610" t="str">
        <v>OneByN</v>
      </c>
      <c r="E610" t="str">
        <v/>
      </c>
      <c r="F610" t="e" cm="1" vm="309">
        <f t="array" ref="F610">IF(D610="","",_xldudf_A_ENTICON(D610))</f>
        <v>#VALUE!</v>
      </c>
      <c r="H610" t="e" vm="64">
        <v>#VALUE!</v>
      </c>
    </row>
    <row r="611" spans="2:8" x14ac:dyDescent="0.25">
      <c r="B611" s="3"/>
      <c r="C611" t="e" cm="1">
        <f t="array" ref="C611">_xlfn.TEXTSPLIT(B611, """")</f>
        <v>#VALUE!</v>
      </c>
      <c r="F611" t="str" cm="1">
        <f t="array" ref="F611">IF(D611="","",_xldudf_A_ENTICON(D611))</f>
        <v/>
      </c>
      <c r="H611" t="e" vm="65">
        <v>#VALUE!</v>
      </c>
    </row>
    <row r="612" spans="2:8" x14ac:dyDescent="0.25">
      <c r="B612" s="3" t="s">
        <v>319</v>
      </c>
      <c r="C612" t="str" cm="1">
        <f t="array" ref="C612:E612">_xlfn.TEXTSPLIT(B612, """")</f>
        <v xml:space="preserve">oneByOne = </v>
      </c>
      <c r="D612" t="str">
        <v>OneByOne</v>
      </c>
      <c r="E612" t="str">
        <v/>
      </c>
      <c r="F612" t="e" cm="1" vm="310">
        <f t="array" ref="F612">IF(D612="","",_xldudf_A_ENTICON(D612))</f>
        <v>#VALUE!</v>
      </c>
      <c r="H612" t="e" vm="66">
        <v>#VALUE!</v>
      </c>
    </row>
    <row r="613" spans="2:8" x14ac:dyDescent="0.25">
      <c r="B613" s="3"/>
      <c r="C613" t="e" cm="1">
        <f t="array" ref="C613">_xlfn.TEXTSPLIT(B613, """")</f>
        <v>#VALUE!</v>
      </c>
      <c r="F613" t="str" cm="1">
        <f t="array" ref="F613">IF(D613="","",_xldudf_A_ENTICON(D613))</f>
        <v/>
      </c>
      <c r="H613" t="e" vm="67">
        <v>#VALUE!</v>
      </c>
    </row>
    <row r="614" spans="2:8" x14ac:dyDescent="0.25">
      <c r="B614" s="3" t="s">
        <v>320</v>
      </c>
      <c r="C614" t="str" cm="1">
        <f t="array" ref="C614:E614">_xlfn.TEXTSPLIT(B614, """")</f>
        <v xml:space="preserve">options = </v>
      </c>
      <c r="D614" t="str">
        <v>Options</v>
      </c>
      <c r="E614" t="str">
        <v/>
      </c>
      <c r="F614" t="e" cm="1" vm="311">
        <f t="array" ref="F614">IF(D614="","",_xldudf_A_ENTICON(D614))</f>
        <v>#VALUE!</v>
      </c>
      <c r="H614" t="e" vm="68">
        <v>#VALUE!</v>
      </c>
    </row>
    <row r="615" spans="2:8" x14ac:dyDescent="0.25">
      <c r="B615" s="3"/>
      <c r="C615" t="e" cm="1">
        <f t="array" ref="C615">_xlfn.TEXTSPLIT(B615, """")</f>
        <v>#VALUE!</v>
      </c>
      <c r="F615" t="str" cm="1">
        <f t="array" ref="F615">IF(D615="","",_xldudf_A_ENTICON(D615))</f>
        <v/>
      </c>
      <c r="H615" t="e" vm="69">
        <v>#VALUE!</v>
      </c>
    </row>
    <row r="616" spans="2:8" x14ac:dyDescent="0.25">
      <c r="B616" s="3" t="s">
        <v>321</v>
      </c>
      <c r="C616" t="str" cm="1">
        <f t="array" ref="C616:E616">_xlfn.TEXTSPLIT(B616, """")</f>
        <v xml:space="preserve">organization = </v>
      </c>
      <c r="D616" t="str">
        <v>Organization</v>
      </c>
      <c r="E616" t="str">
        <v/>
      </c>
      <c r="F616" t="e" cm="1" vm="312">
        <f t="array" ref="F616">IF(D616="","",_xldudf_A_ENTICON(D616))</f>
        <v>#VALUE!</v>
      </c>
      <c r="H616" t="e" vm="70">
        <v>#VALUE!</v>
      </c>
    </row>
    <row r="617" spans="2:8" x14ac:dyDescent="0.25">
      <c r="B617" s="3"/>
      <c r="C617" t="e" cm="1">
        <f t="array" ref="C617">_xlfn.TEXTSPLIT(B617, """")</f>
        <v>#VALUE!</v>
      </c>
      <c r="F617" t="str" cm="1">
        <f t="array" ref="F617">IF(D617="","",_xldudf_A_ENTICON(D617))</f>
        <v/>
      </c>
      <c r="H617" t="e" vm="71">
        <v>#VALUE!</v>
      </c>
    </row>
    <row r="618" spans="2:8" x14ac:dyDescent="0.25">
      <c r="B618" s="3" t="s">
        <v>322</v>
      </c>
      <c r="C618" t="str" cm="1">
        <f t="array" ref="C618:E618">_xlfn.TEXTSPLIT(B618, """")</f>
        <v xml:space="preserve">organizationHorizontal = </v>
      </c>
      <c r="D618" t="str">
        <v>OrganizationHorizontal</v>
      </c>
      <c r="E618" t="str">
        <v/>
      </c>
      <c r="F618" t="e" cm="1" vm="313">
        <f t="array" ref="F618">IF(D618="","",_xldudf_A_ENTICON(D618))</f>
        <v>#VALUE!</v>
      </c>
      <c r="H618" t="e" vm="72">
        <v>#VALUE!</v>
      </c>
    </row>
    <row r="619" spans="2:8" x14ac:dyDescent="0.25">
      <c r="B619" s="3"/>
      <c r="C619" t="e" cm="1">
        <f t="array" ref="C619">_xlfn.TEXTSPLIT(B619, """")</f>
        <v>#VALUE!</v>
      </c>
      <c r="F619" t="str" cm="1">
        <f t="array" ref="F619">IF(D619="","",_xldudf_A_ENTICON(D619))</f>
        <v/>
      </c>
      <c r="H619" t="e" vm="73">
        <v>#VALUE!</v>
      </c>
    </row>
    <row r="620" spans="2:8" x14ac:dyDescent="0.25">
      <c r="B620" s="3" t="s">
        <v>323</v>
      </c>
      <c r="C620" t="str" cm="1">
        <f t="array" ref="C620:E620">_xlfn.TEXTSPLIT(B620, """")</f>
        <v xml:space="preserve">oval = </v>
      </c>
      <c r="D620" t="str">
        <v>Oval</v>
      </c>
      <c r="E620" t="str">
        <v/>
      </c>
      <c r="F620" t="e" cm="1" vm="314">
        <f t="array" ref="F620">IF(D620="","",_xldudf_A_ENTICON(D620))</f>
        <v>#VALUE!</v>
      </c>
      <c r="H620" t="e" vm="74">
        <v>#VALUE!</v>
      </c>
    </row>
    <row r="621" spans="2:8" x14ac:dyDescent="0.25">
      <c r="B621" s="3"/>
      <c r="C621" t="e" cm="1">
        <f t="array" ref="C621">_xlfn.TEXTSPLIT(B621, """")</f>
        <v>#VALUE!</v>
      </c>
      <c r="F621" t="str" cm="1">
        <f t="array" ref="F621">IF(D621="","",_xldudf_A_ENTICON(D621))</f>
        <v/>
      </c>
      <c r="H621" t="e" vm="75">
        <v>#VALUE!</v>
      </c>
    </row>
    <row r="622" spans="2:8" x14ac:dyDescent="0.25">
      <c r="B622" s="3" t="s">
        <v>324</v>
      </c>
      <c r="C622" t="str" cm="1">
        <f t="array" ref="C622:E622">_xlfn.TEXTSPLIT(B622, """")</f>
        <v xml:space="preserve">paintBrush = </v>
      </c>
      <c r="D622" t="str">
        <v>PaintBrush</v>
      </c>
      <c r="E622" t="str">
        <v/>
      </c>
      <c r="F622" t="e" cm="1" vm="315">
        <f t="array" ref="F622">IF(D622="","",_xldudf_A_ENTICON(D622))</f>
        <v>#VALUE!</v>
      </c>
      <c r="H622" t="e" vm="76">
        <v>#VALUE!</v>
      </c>
    </row>
    <row r="623" spans="2:8" x14ac:dyDescent="0.25">
      <c r="B623" s="3"/>
      <c r="C623" t="e" cm="1">
        <f t="array" ref="C623">_xlfn.TEXTSPLIT(B623, """")</f>
        <v>#VALUE!</v>
      </c>
      <c r="F623" t="str" cm="1">
        <f t="array" ref="F623">IF(D623="","",_xldudf_A_ENTICON(D623))</f>
        <v/>
      </c>
      <c r="H623" t="e" vm="77">
        <v>#VALUE!</v>
      </c>
    </row>
    <row r="624" spans="2:8" x14ac:dyDescent="0.25">
      <c r="B624" s="3" t="s">
        <v>325</v>
      </c>
      <c r="C624" t="str" cm="1">
        <f t="array" ref="C624:E624">_xlfn.TEXTSPLIT(B624, """")</f>
        <v xml:space="preserve">paintBucket = </v>
      </c>
      <c r="D624" t="str">
        <v>PaintBucket</v>
      </c>
      <c r="E624" t="str">
        <v/>
      </c>
      <c r="F624" t="e" cm="1" vm="316">
        <f t="array" ref="F624">IF(D624="","",_xldudf_A_ENTICON(D624))</f>
        <v>#VALUE!</v>
      </c>
      <c r="H624" t="e" vm="78">
        <v>#VALUE!</v>
      </c>
    </row>
    <row r="625" spans="2:8" x14ac:dyDescent="0.25">
      <c r="B625" s="3"/>
      <c r="C625" t="e" cm="1">
        <f t="array" ref="C625">_xlfn.TEXTSPLIT(B625, """")</f>
        <v>#VALUE!</v>
      </c>
      <c r="F625" t="str" cm="1">
        <f t="array" ref="F625">IF(D625="","",_xldudf_A_ENTICON(D625))</f>
        <v/>
      </c>
      <c r="H625" t="e" vm="79">
        <v>#VALUE!</v>
      </c>
    </row>
    <row r="626" spans="2:8" x14ac:dyDescent="0.25">
      <c r="B626" s="3" t="s">
        <v>326</v>
      </c>
      <c r="C626" t="str" cm="1">
        <f t="array" ref="C626:E626">_xlfn.TEXTSPLIT(B626, """")</f>
        <v xml:space="preserve">partlySunnyWeather = </v>
      </c>
      <c r="D626" t="str">
        <v>PartlySunnyWeather</v>
      </c>
      <c r="E626" t="str">
        <v/>
      </c>
      <c r="F626" t="e" cm="1" vm="317">
        <f t="array" ref="F626">IF(D626="","",_xldudf_A_ENTICON(D626))</f>
        <v>#VALUE!</v>
      </c>
      <c r="H626" t="e" vm="80">
        <v>#VALUE!</v>
      </c>
    </row>
    <row r="627" spans="2:8" x14ac:dyDescent="0.25">
      <c r="B627" s="3"/>
      <c r="C627" t="e" cm="1">
        <f t="array" ref="C627">_xlfn.TEXTSPLIT(B627, """")</f>
        <v>#VALUE!</v>
      </c>
      <c r="F627" t="str" cm="1">
        <f t="array" ref="F627">IF(D627="","",_xldudf_A_ENTICON(D627))</f>
        <v/>
      </c>
      <c r="H627" t="e" vm="81">
        <v>#VALUE!</v>
      </c>
    </row>
    <row r="628" spans="2:8" x14ac:dyDescent="0.25">
      <c r="B628" s="3" t="s">
        <v>327</v>
      </c>
      <c r="C628" t="str" cm="1">
        <f t="array" ref="C628:E628">_xlfn.TEXTSPLIT(B628, """")</f>
        <v xml:space="preserve">password = </v>
      </c>
      <c r="D628" t="str">
        <v>Password</v>
      </c>
      <c r="E628" t="str">
        <v/>
      </c>
      <c r="F628" t="e" cm="1" vm="318">
        <f t="array" ref="F628">IF(D628="","",_xldudf_A_ENTICON(D628))</f>
        <v>#VALUE!</v>
      </c>
      <c r="H628" t="e" vm="82">
        <v>#VALUE!</v>
      </c>
    </row>
    <row r="629" spans="2:8" x14ac:dyDescent="0.25">
      <c r="B629" s="3"/>
      <c r="C629" t="e" cm="1">
        <f t="array" ref="C629">_xlfn.TEXTSPLIT(B629, """")</f>
        <v>#VALUE!</v>
      </c>
      <c r="F629" t="str" cm="1">
        <f t="array" ref="F629">IF(D629="","",_xldudf_A_ENTICON(D629))</f>
        <v/>
      </c>
      <c r="H629" t="e" vm="83">
        <v>#VALUE!</v>
      </c>
    </row>
    <row r="630" spans="2:8" x14ac:dyDescent="0.25">
      <c r="B630" s="3" t="s">
        <v>328</v>
      </c>
      <c r="C630" t="str" cm="1">
        <f t="array" ref="C630:E630">_xlfn.TEXTSPLIT(B630, """")</f>
        <v xml:space="preserve">patch = </v>
      </c>
      <c r="D630" t="str">
        <v>Patch</v>
      </c>
      <c r="E630" t="str">
        <v/>
      </c>
      <c r="F630" t="e" cm="1" vm="319">
        <f t="array" ref="F630">IF(D630="","",_xldudf_A_ENTICON(D630))</f>
        <v>#VALUE!</v>
      </c>
      <c r="H630" t="e" vm="84">
        <v>#VALUE!</v>
      </c>
    </row>
    <row r="631" spans="2:8" x14ac:dyDescent="0.25">
      <c r="B631" s="3"/>
      <c r="C631" t="e" cm="1">
        <f t="array" ref="C631">_xlfn.TEXTSPLIT(B631, """")</f>
        <v>#VALUE!</v>
      </c>
      <c r="F631" t="str" cm="1">
        <f t="array" ref="F631">IF(D631="","",_xldudf_A_ENTICON(D631))</f>
        <v/>
      </c>
      <c r="H631" t="e" vm="85">
        <v>#VALUE!</v>
      </c>
    </row>
    <row r="632" spans="2:8" x14ac:dyDescent="0.25">
      <c r="B632" s="3" t="s">
        <v>329</v>
      </c>
      <c r="C632" t="str" cm="1">
        <f t="array" ref="C632:E632">_xlfn.TEXTSPLIT(B632, """")</f>
        <v xml:space="preserve">patient = </v>
      </c>
      <c r="D632" t="str">
        <v>Patient</v>
      </c>
      <c r="E632" t="str">
        <v/>
      </c>
      <c r="F632" t="e" cm="1" vm="320">
        <f t="array" ref="F632">IF(D632="","",_xldudf_A_ENTICON(D632))</f>
        <v>#VALUE!</v>
      </c>
      <c r="H632" t="e" vm="86">
        <v>#VALUE!</v>
      </c>
    </row>
    <row r="633" spans="2:8" x14ac:dyDescent="0.25">
      <c r="B633" s="3"/>
      <c r="C633" t="e" cm="1">
        <f t="array" ref="C633">_xlfn.TEXTSPLIT(B633, """")</f>
        <v>#VALUE!</v>
      </c>
      <c r="F633" t="str" cm="1">
        <f t="array" ref="F633">IF(D633="","",_xldudf_A_ENTICON(D633))</f>
        <v/>
      </c>
      <c r="H633" t="e" vm="87">
        <v>#VALUE!</v>
      </c>
    </row>
    <row r="634" spans="2:8" x14ac:dyDescent="0.25">
      <c r="B634" s="3" t="s">
        <v>330</v>
      </c>
      <c r="C634" t="str" cm="1">
        <f t="array" ref="C634:E634">_xlfn.TEXTSPLIT(B634, """")</f>
        <v xml:space="preserve">payment = </v>
      </c>
      <c r="D634" t="str">
        <v>Payment</v>
      </c>
      <c r="E634" t="str">
        <v/>
      </c>
      <c r="F634" t="e" cm="1" vm="321">
        <f t="array" ref="F634">IF(D634="","",_xldudf_A_ENTICON(D634))</f>
        <v>#VALUE!</v>
      </c>
      <c r="H634" t="e" vm="88">
        <v>#VALUE!</v>
      </c>
    </row>
    <row r="635" spans="2:8" x14ac:dyDescent="0.25">
      <c r="B635" s="3"/>
      <c r="C635" t="e" cm="1">
        <f t="array" ref="C635">_xlfn.TEXTSPLIT(B635, """")</f>
        <v>#VALUE!</v>
      </c>
      <c r="F635" t="str" cm="1">
        <f t="array" ref="F635">IF(D635="","",_xldudf_A_ENTICON(D635))</f>
        <v/>
      </c>
      <c r="H635" t="e" vm="89">
        <v>#VALUE!</v>
      </c>
    </row>
    <row r="636" spans="2:8" x14ac:dyDescent="0.25">
      <c r="B636" s="3" t="s">
        <v>331</v>
      </c>
      <c r="C636" t="str" cm="1">
        <f t="array" ref="C636:E636">_xlfn.TEXTSPLIT(B636, """")</f>
        <v xml:space="preserve">pen = </v>
      </c>
      <c r="D636" t="str">
        <v>Pen</v>
      </c>
      <c r="E636" t="str">
        <v/>
      </c>
      <c r="F636" t="e" cm="1" vm="322">
        <f t="array" ref="F636">IF(D636="","",_xldudf_A_ENTICON(D636))</f>
        <v>#VALUE!</v>
      </c>
      <c r="H636" t="e" vm="90">
        <v>#VALUE!</v>
      </c>
    </row>
    <row r="637" spans="2:8" x14ac:dyDescent="0.25">
      <c r="B637" s="3"/>
      <c r="C637" t="e" cm="1">
        <f t="array" ref="C637">_xlfn.TEXTSPLIT(B637, """")</f>
        <v>#VALUE!</v>
      </c>
      <c r="F637" t="str" cm="1">
        <f t="array" ref="F637">IF(D637="","",_xldudf_A_ENTICON(D637))</f>
        <v/>
      </c>
      <c r="H637" t="e" vm="91">
        <v>#VALUE!</v>
      </c>
    </row>
    <row r="638" spans="2:8" x14ac:dyDescent="0.25">
      <c r="B638" s="3" t="s">
        <v>332</v>
      </c>
      <c r="C638" t="str" cm="1">
        <f t="array" ref="C638:E638">_xlfn.TEXTSPLIT(B638, """")</f>
        <v xml:space="preserve">pentagon = </v>
      </c>
      <c r="D638" t="str">
        <v>Pentagon</v>
      </c>
      <c r="E638" t="str">
        <v/>
      </c>
      <c r="F638" t="e" cm="1" vm="323">
        <f t="array" ref="F638">IF(D638="","",_xldudf_A_ENTICON(D638))</f>
        <v>#VALUE!</v>
      </c>
      <c r="H638" t="e" vm="92">
        <v>#VALUE!</v>
      </c>
    </row>
    <row r="639" spans="2:8" x14ac:dyDescent="0.25">
      <c r="B639" s="3"/>
      <c r="C639" t="e" cm="1">
        <f t="array" ref="C639">_xlfn.TEXTSPLIT(B639, """")</f>
        <v>#VALUE!</v>
      </c>
      <c r="F639" t="str" cm="1">
        <f t="array" ref="F639">IF(D639="","",_xldudf_A_ENTICON(D639))</f>
        <v/>
      </c>
      <c r="H639" t="e" vm="93">
        <v>#VALUE!</v>
      </c>
    </row>
    <row r="640" spans="2:8" x14ac:dyDescent="0.25">
      <c r="B640" s="3" t="s">
        <v>333</v>
      </c>
      <c r="C640" t="str" cm="1">
        <f t="array" ref="C640:E640">_xlfn.TEXTSPLIT(B640, """")</f>
        <v xml:space="preserve">people = </v>
      </c>
      <c r="D640" t="str">
        <v>People</v>
      </c>
      <c r="E640" t="str">
        <v/>
      </c>
      <c r="F640" t="e" cm="1" vm="324">
        <f t="array" ref="F640">IF(D640="","",_xldudf_A_ENTICON(D640))</f>
        <v>#VALUE!</v>
      </c>
      <c r="H640" t="e" vm="94">
        <v>#VALUE!</v>
      </c>
    </row>
    <row r="641" spans="2:8" x14ac:dyDescent="0.25">
      <c r="B641" s="3"/>
      <c r="C641" t="e" cm="1">
        <f t="array" ref="C641">_xlfn.TEXTSPLIT(B641, """")</f>
        <v>#VALUE!</v>
      </c>
      <c r="F641" t="str" cm="1">
        <f t="array" ref="F641">IF(D641="","",_xldudf_A_ENTICON(D641))</f>
        <v/>
      </c>
      <c r="H641" t="e" vm="95">
        <v>#VALUE!</v>
      </c>
    </row>
    <row r="642" spans="2:8" x14ac:dyDescent="0.25">
      <c r="B642" s="3" t="s">
        <v>334</v>
      </c>
      <c r="C642" t="str" cm="1">
        <f t="array" ref="C642:E642">_xlfn.TEXTSPLIT(B642, """")</f>
        <v xml:space="preserve">peopleAudience = </v>
      </c>
      <c r="D642" t="str">
        <v>PeopleAudience</v>
      </c>
      <c r="E642" t="str">
        <v/>
      </c>
      <c r="F642" t="e" cm="1" vm="325">
        <f t="array" ref="F642">IF(D642="","",_xldudf_A_ENTICON(D642))</f>
        <v>#VALUE!</v>
      </c>
      <c r="H642" t="e" vm="96">
        <v>#VALUE!</v>
      </c>
    </row>
    <row r="643" spans="2:8" x14ac:dyDescent="0.25">
      <c r="B643" s="3"/>
      <c r="C643" t="e" cm="1">
        <f t="array" ref="C643">_xlfn.TEXTSPLIT(B643, """")</f>
        <v>#VALUE!</v>
      </c>
      <c r="F643" t="str" cm="1">
        <f t="array" ref="F643">IF(D643="","",_xldudf_A_ENTICON(D643))</f>
        <v/>
      </c>
      <c r="H643" t="e" vm="97">
        <v>#VALUE!</v>
      </c>
    </row>
    <row r="644" spans="2:8" x14ac:dyDescent="0.25">
      <c r="B644" s="3" t="s">
        <v>335</v>
      </c>
      <c r="C644" t="str" cm="1">
        <f t="array" ref="C644:E644">_xlfn.TEXTSPLIT(B644, """")</f>
        <v xml:space="preserve">peopleCall = </v>
      </c>
      <c r="D644" t="str">
        <v>PeopleCall</v>
      </c>
      <c r="E644" t="str">
        <v/>
      </c>
      <c r="F644" t="e" cm="1" vm="326">
        <f t="array" ref="F644">IF(D644="","",_xldudf_A_ENTICON(D644))</f>
        <v>#VALUE!</v>
      </c>
      <c r="H644" t="e" vm="98">
        <v>#VALUE!</v>
      </c>
    </row>
    <row r="645" spans="2:8" x14ac:dyDescent="0.25">
      <c r="B645" s="3"/>
      <c r="C645" t="e" cm="1">
        <f t="array" ref="C645">_xlfn.TEXTSPLIT(B645, """")</f>
        <v>#VALUE!</v>
      </c>
      <c r="F645" t="str" cm="1">
        <f t="array" ref="F645">IF(D645="","",_xldudf_A_ENTICON(D645))</f>
        <v/>
      </c>
      <c r="H645" t="e" vm="99">
        <v>#VALUE!</v>
      </c>
    </row>
    <row r="646" spans="2:8" x14ac:dyDescent="0.25">
      <c r="B646" s="3" t="s">
        <v>336</v>
      </c>
      <c r="C646" t="str" cm="1">
        <f t="array" ref="C646:E646">_xlfn.TEXTSPLIT(B646, """")</f>
        <v xml:space="preserve">peopleCommunity = </v>
      </c>
      <c r="D646" t="str">
        <v>PeopleCommunity</v>
      </c>
      <c r="E646" t="str">
        <v/>
      </c>
      <c r="F646" t="e" cm="1" vm="327">
        <f t="array" ref="F646">IF(D646="","",_xldudf_A_ENTICON(D646))</f>
        <v>#VALUE!</v>
      </c>
      <c r="H646" t="e" vm="100">
        <v>#VALUE!</v>
      </c>
    </row>
    <row r="647" spans="2:8" x14ac:dyDescent="0.25">
      <c r="B647" s="3"/>
      <c r="C647" t="e" cm="1">
        <f t="array" ref="C647">_xlfn.TEXTSPLIT(B647, """")</f>
        <v>#VALUE!</v>
      </c>
      <c r="F647" t="str" cm="1">
        <f t="array" ref="F647">IF(D647="","",_xldudf_A_ENTICON(D647))</f>
        <v/>
      </c>
      <c r="H647" t="e" vm="101">
        <v>#VALUE!</v>
      </c>
    </row>
    <row r="648" spans="2:8" x14ac:dyDescent="0.25">
      <c r="B648" s="3" t="s">
        <v>337</v>
      </c>
      <c r="C648" t="str" cm="1">
        <f t="array" ref="C648:E648">_xlfn.TEXTSPLIT(B648, """")</f>
        <v xml:space="preserve">peopleMoney = </v>
      </c>
      <c r="D648" t="str">
        <v>PeopleMoney</v>
      </c>
      <c r="E648" t="str">
        <v/>
      </c>
      <c r="F648" t="e" cm="1" vm="328">
        <f t="array" ref="F648">IF(D648="","",_xldudf_A_ENTICON(D648))</f>
        <v>#VALUE!</v>
      </c>
      <c r="H648" t="e" vm="102">
        <v>#VALUE!</v>
      </c>
    </row>
    <row r="649" spans="2:8" x14ac:dyDescent="0.25">
      <c r="B649" s="3"/>
      <c r="C649" t="e" cm="1">
        <f t="array" ref="C649">_xlfn.TEXTSPLIT(B649, """")</f>
        <v>#VALUE!</v>
      </c>
      <c r="F649" t="str" cm="1">
        <f t="array" ref="F649">IF(D649="","",_xldudf_A_ENTICON(D649))</f>
        <v/>
      </c>
      <c r="H649" t="e" vm="103">
        <v>#VALUE!</v>
      </c>
    </row>
    <row r="650" spans="2:8" x14ac:dyDescent="0.25">
      <c r="B650" s="3" t="s">
        <v>338</v>
      </c>
      <c r="C650" t="str" cm="1">
        <f t="array" ref="C650:E650">_xlfn.TEXTSPLIT(B650, """")</f>
        <v xml:space="preserve">peopleQueue = </v>
      </c>
      <c r="D650" t="str">
        <v>PeopleQueue</v>
      </c>
      <c r="E650" t="str">
        <v/>
      </c>
      <c r="F650" t="e" cm="1" vm="329">
        <f t="array" ref="F650">IF(D650="","",_xldudf_A_ENTICON(D650))</f>
        <v>#VALUE!</v>
      </c>
      <c r="H650" t="e" vm="104">
        <v>#VALUE!</v>
      </c>
    </row>
    <row r="651" spans="2:8" x14ac:dyDescent="0.25">
      <c r="B651" s="3"/>
      <c r="C651" t="e" cm="1">
        <f t="array" ref="C651">_xlfn.TEXTSPLIT(B651, """")</f>
        <v>#VALUE!</v>
      </c>
      <c r="F651" t="str" cm="1">
        <f t="array" ref="F651">IF(D651="","",_xldudf_A_ENTICON(D651))</f>
        <v/>
      </c>
      <c r="H651" t="e" vm="105">
        <v>#VALUE!</v>
      </c>
    </row>
    <row r="652" spans="2:8" x14ac:dyDescent="0.25">
      <c r="B652" s="3" t="s">
        <v>339</v>
      </c>
      <c r="C652" t="str" cm="1">
        <f t="array" ref="C652:E652">_xlfn.TEXTSPLIT(B652, """")</f>
        <v xml:space="preserve">peopleTeam = </v>
      </c>
      <c r="D652" t="str">
        <v>PeopleTeam</v>
      </c>
      <c r="E652" t="str">
        <v/>
      </c>
      <c r="F652" t="e" cm="1" vm="330">
        <f t="array" ref="F652">IF(D652="","",_xldudf_A_ENTICON(D652))</f>
        <v>#VALUE!</v>
      </c>
      <c r="H652" t="e" vm="106">
        <v>#VALUE!</v>
      </c>
    </row>
    <row r="653" spans="2:8" x14ac:dyDescent="0.25">
      <c r="B653" s="3"/>
      <c r="C653" t="e" cm="1">
        <f t="array" ref="C653">_xlfn.TEXTSPLIT(B653, """")</f>
        <v>#VALUE!</v>
      </c>
      <c r="F653" t="str" cm="1">
        <f t="array" ref="F653">IF(D653="","",_xldudf_A_ENTICON(D653))</f>
        <v/>
      </c>
      <c r="H653" t="e" vm="107">
        <v>#VALUE!</v>
      </c>
    </row>
    <row r="654" spans="2:8" x14ac:dyDescent="0.25">
      <c r="B654" s="3" t="s">
        <v>340</v>
      </c>
      <c r="C654" t="str" cm="1">
        <f t="array" ref="C654:E654">_xlfn.TEXTSPLIT(B654, """")</f>
        <v xml:space="preserve">peopleToolbox = </v>
      </c>
      <c r="D654" t="str">
        <v>PeopleToolbox</v>
      </c>
      <c r="E654" t="str">
        <v/>
      </c>
      <c r="F654" t="e" cm="1" vm="331">
        <f t="array" ref="F654">IF(D654="","",_xldudf_A_ENTICON(D654))</f>
        <v>#VALUE!</v>
      </c>
      <c r="H654" t="e" vm="108">
        <v>#VALUE!</v>
      </c>
    </row>
    <row r="655" spans="2:8" x14ac:dyDescent="0.25">
      <c r="B655" s="3"/>
      <c r="C655" t="e" cm="1">
        <f t="array" ref="C655">_xlfn.TEXTSPLIT(B655, """")</f>
        <v>#VALUE!</v>
      </c>
      <c r="F655" t="str" cm="1">
        <f t="array" ref="F655">IF(D655="","",_xldudf_A_ENTICON(D655))</f>
        <v/>
      </c>
      <c r="H655" t="e" vm="109">
        <v>#VALUE!</v>
      </c>
    </row>
    <row r="656" spans="2:8" x14ac:dyDescent="0.25">
      <c r="B656" s="3" t="s">
        <v>341</v>
      </c>
      <c r="C656" t="str" cm="1">
        <f t="array" ref="C656:E656">_xlfn.TEXTSPLIT(B656, """")</f>
        <v xml:space="preserve">person = </v>
      </c>
      <c r="D656" t="str">
        <v>Person</v>
      </c>
      <c r="E656" t="str">
        <v/>
      </c>
      <c r="F656" t="e" cm="1" vm="332">
        <f t="array" ref="F656">IF(D656="","",_xldudf_A_ENTICON(D656))</f>
        <v>#VALUE!</v>
      </c>
      <c r="H656" t="e" vm="110">
        <v>#VALUE!</v>
      </c>
    </row>
    <row r="657" spans="2:8" x14ac:dyDescent="0.25">
      <c r="B657" s="3"/>
      <c r="C657" t="e" cm="1">
        <f t="array" ref="C657">_xlfn.TEXTSPLIT(B657, """")</f>
        <v>#VALUE!</v>
      </c>
      <c r="F657" t="str" cm="1">
        <f t="array" ref="F657">IF(D657="","",_xldudf_A_ENTICON(D657))</f>
        <v/>
      </c>
      <c r="H657" t="e" vm="111">
        <v>#VALUE!</v>
      </c>
    </row>
    <row r="658" spans="2:8" x14ac:dyDescent="0.25">
      <c r="B658" s="3" t="s">
        <v>342</v>
      </c>
      <c r="C658" t="str" cm="1">
        <f t="array" ref="C658:E658">_xlfn.TEXTSPLIT(B658, """")</f>
        <v xml:space="preserve">personBoard = </v>
      </c>
      <c r="D658" t="str">
        <v>PersonBoard</v>
      </c>
      <c r="E658" t="str">
        <v/>
      </c>
      <c r="F658" t="e" cm="1" vm="333">
        <f t="array" ref="F658">IF(D658="","",_xldudf_A_ENTICON(D658))</f>
        <v>#VALUE!</v>
      </c>
      <c r="H658" t="e" vm="112">
        <v>#VALUE!</v>
      </c>
    </row>
    <row r="659" spans="2:8" x14ac:dyDescent="0.25">
      <c r="B659" s="3"/>
      <c r="C659" t="e" cm="1">
        <f t="array" ref="C659">_xlfn.TEXTSPLIT(B659, """")</f>
        <v>#VALUE!</v>
      </c>
      <c r="F659" t="str" cm="1">
        <f t="array" ref="F659">IF(D659="","",_xldudf_A_ENTICON(D659))</f>
        <v/>
      </c>
      <c r="H659" t="e" vm="113">
        <v>#VALUE!</v>
      </c>
    </row>
    <row r="660" spans="2:8" x14ac:dyDescent="0.25">
      <c r="B660" s="3" t="s">
        <v>343</v>
      </c>
      <c r="C660" t="str" cm="1">
        <f t="array" ref="C660:E660">_xlfn.TEXTSPLIT(B660, """")</f>
        <v xml:space="preserve">personCall = </v>
      </c>
      <c r="D660" t="str">
        <v>PersonCall</v>
      </c>
      <c r="E660" t="str">
        <v/>
      </c>
      <c r="F660" t="e" cm="1" vm="334">
        <f t="array" ref="F660">IF(D660="","",_xldudf_A_ENTICON(D660))</f>
        <v>#VALUE!</v>
      </c>
      <c r="H660" t="e" vm="114">
        <v>#VALUE!</v>
      </c>
    </row>
    <row r="661" spans="2:8" x14ac:dyDescent="0.25">
      <c r="B661" s="3"/>
      <c r="C661" t="e" cm="1">
        <f t="array" ref="C661">_xlfn.TEXTSPLIT(B661, """")</f>
        <v>#VALUE!</v>
      </c>
      <c r="F661" t="str" cm="1">
        <f t="array" ref="F661">IF(D661="","",_xldudf_A_ENTICON(D661))</f>
        <v/>
      </c>
      <c r="H661" t="e" vm="115">
        <v>#VALUE!</v>
      </c>
    </row>
    <row r="662" spans="2:8" x14ac:dyDescent="0.25">
      <c r="B662" s="3" t="s">
        <v>344</v>
      </c>
      <c r="C662" t="str" cm="1">
        <f t="array" ref="C662:E662">_xlfn.TEXTSPLIT(B662, """")</f>
        <v xml:space="preserve">personChat = </v>
      </c>
      <c r="D662" t="str">
        <v>PersonChat</v>
      </c>
      <c r="E662" t="str">
        <v/>
      </c>
      <c r="F662" t="e" cm="1" vm="335">
        <f t="array" ref="F662">IF(D662="","",_xldudf_A_ENTICON(D662))</f>
        <v>#VALUE!</v>
      </c>
      <c r="H662" t="e" vm="116">
        <v>#VALUE!</v>
      </c>
    </row>
    <row r="663" spans="2:8" x14ac:dyDescent="0.25">
      <c r="B663" s="3"/>
      <c r="C663" t="e" cm="1">
        <f t="array" ref="C663">_xlfn.TEXTSPLIT(B663, """")</f>
        <v>#VALUE!</v>
      </c>
      <c r="F663" t="str" cm="1">
        <f t="array" ref="F663">IF(D663="","",_xldudf_A_ENTICON(D663))</f>
        <v/>
      </c>
      <c r="H663" t="e" vm="117">
        <v>#VALUE!</v>
      </c>
    </row>
    <row r="664" spans="2:8" x14ac:dyDescent="0.25">
      <c r="B664" s="3" t="s">
        <v>345</v>
      </c>
      <c r="C664" t="str" cm="1">
        <f t="array" ref="C664:E664">_xlfn.TEXTSPLIT(B664, """")</f>
        <v xml:space="preserve">personFeedback = </v>
      </c>
      <c r="D664" t="str">
        <v>PersonFeedback</v>
      </c>
      <c r="E664" t="str">
        <v/>
      </c>
      <c r="F664" t="e" cm="1" vm="336">
        <f t="array" ref="F664">IF(D664="","",_xldudf_A_ENTICON(D664))</f>
        <v>#VALUE!</v>
      </c>
      <c r="H664" t="e" vm="118">
        <v>#VALUE!</v>
      </c>
    </row>
    <row r="665" spans="2:8" x14ac:dyDescent="0.25">
      <c r="B665" s="3"/>
      <c r="C665" t="e" cm="1">
        <f t="array" ref="C665">_xlfn.TEXTSPLIT(B665, """")</f>
        <v>#VALUE!</v>
      </c>
      <c r="F665" t="str" cm="1">
        <f t="array" ref="F665">IF(D665="","",_xldudf_A_ENTICON(D665))</f>
        <v/>
      </c>
      <c r="H665" t="e" vm="119">
        <v>#VALUE!</v>
      </c>
    </row>
    <row r="666" spans="2:8" x14ac:dyDescent="0.25">
      <c r="B666" s="3" t="s">
        <v>346</v>
      </c>
      <c r="C666" t="str" cm="1">
        <f t="array" ref="C666:E666">_xlfn.TEXTSPLIT(B666, """")</f>
        <v xml:space="preserve">personSupport = </v>
      </c>
      <c r="D666" t="str">
        <v>PersonSupport</v>
      </c>
      <c r="E666" t="str">
        <v/>
      </c>
      <c r="F666" t="e" cm="1" vm="337">
        <f t="array" ref="F666">IF(D666="","",_xldudf_A_ENTICON(D666))</f>
        <v>#VALUE!</v>
      </c>
      <c r="H666" t="e" vm="120">
        <v>#VALUE!</v>
      </c>
    </row>
    <row r="667" spans="2:8" x14ac:dyDescent="0.25">
      <c r="B667" s="3"/>
      <c r="C667" t="e" cm="1">
        <f t="array" ref="C667">_xlfn.TEXTSPLIT(B667, """")</f>
        <v>#VALUE!</v>
      </c>
      <c r="F667" t="str" cm="1">
        <f t="array" ref="F667">IF(D667="","",_xldudf_A_ENTICON(D667))</f>
        <v/>
      </c>
      <c r="H667" t="e" vm="121">
        <v>#VALUE!</v>
      </c>
    </row>
    <row r="668" spans="2:8" x14ac:dyDescent="0.25">
      <c r="B668" s="3" t="s">
        <v>347</v>
      </c>
      <c r="C668" t="str" cm="1">
        <f t="array" ref="C668:E668">_xlfn.TEXTSPLIT(B668, """")</f>
        <v xml:space="preserve">personVoice = </v>
      </c>
      <c r="D668" t="str">
        <v>PersonVoice</v>
      </c>
      <c r="E668" t="str">
        <v/>
      </c>
      <c r="F668" t="e" cm="1" vm="338">
        <f t="array" ref="F668">IF(D668="","",_xldudf_A_ENTICON(D668))</f>
        <v>#VALUE!</v>
      </c>
      <c r="H668" t="e" vm="122">
        <v>#VALUE!</v>
      </c>
    </row>
    <row r="669" spans="2:8" x14ac:dyDescent="0.25">
      <c r="B669" s="3"/>
      <c r="C669" t="e" cm="1">
        <f t="array" ref="C669">_xlfn.TEXTSPLIT(B669, """")</f>
        <v>#VALUE!</v>
      </c>
      <c r="F669" t="str" cm="1">
        <f t="array" ref="F669">IF(D669="","",_xldudf_A_ENTICON(D669))</f>
        <v/>
      </c>
      <c r="H669" t="e" vm="123">
        <v>#VALUE!</v>
      </c>
    </row>
    <row r="670" spans="2:8" x14ac:dyDescent="0.25">
      <c r="B670" s="3" t="s">
        <v>348</v>
      </c>
      <c r="C670" t="str" cm="1">
        <f t="array" ref="C670:E670">_xlfn.TEXTSPLIT(B670, """")</f>
        <v xml:space="preserve">phone = </v>
      </c>
      <c r="D670" t="str">
        <v>Phone</v>
      </c>
      <c r="E670" t="str">
        <v/>
      </c>
      <c r="F670" t="e" cm="1" vm="339">
        <f t="array" ref="F670">IF(D670="","",_xldudf_A_ENTICON(D670))</f>
        <v>#VALUE!</v>
      </c>
      <c r="H670" t="e" vm="124">
        <v>#VALUE!</v>
      </c>
    </row>
    <row r="671" spans="2:8" x14ac:dyDescent="0.25">
      <c r="B671" s="3"/>
      <c r="C671" t="e" cm="1">
        <f t="array" ref="C671">_xlfn.TEXTSPLIT(B671, """")</f>
        <v>#VALUE!</v>
      </c>
      <c r="F671" t="str" cm="1">
        <f t="array" ref="F671">IF(D671="","",_xldudf_A_ENTICON(D671))</f>
        <v/>
      </c>
      <c r="H671" t="e" vm="125">
        <v>#VALUE!</v>
      </c>
    </row>
    <row r="672" spans="2:8" x14ac:dyDescent="0.25">
      <c r="B672" s="3" t="s">
        <v>349</v>
      </c>
      <c r="C672" t="str" cm="1">
        <f t="array" ref="C672:E672">_xlfn.TEXTSPLIT(B672, """")</f>
        <v xml:space="preserve">phoneDesktop = </v>
      </c>
      <c r="D672" t="str">
        <v>PhoneDesktop</v>
      </c>
      <c r="E672" t="str">
        <v/>
      </c>
      <c r="F672" t="e" cm="1" vm="340">
        <f t="array" ref="F672">IF(D672="","",_xldudf_A_ENTICON(D672))</f>
        <v>#VALUE!</v>
      </c>
      <c r="H672" t="e" vm="126">
        <v>#VALUE!</v>
      </c>
    </row>
    <row r="673" spans="2:8" x14ac:dyDescent="0.25">
      <c r="B673" s="3"/>
      <c r="C673" t="e" cm="1">
        <f t="array" ref="C673">_xlfn.TEXTSPLIT(B673, """")</f>
        <v>#VALUE!</v>
      </c>
      <c r="F673" t="str" cm="1">
        <f t="array" ref="F673">IF(D673="","",_xldudf_A_ENTICON(D673))</f>
        <v/>
      </c>
      <c r="H673" t="e" vm="127">
        <v>#VALUE!</v>
      </c>
    </row>
    <row r="674" spans="2:8" x14ac:dyDescent="0.25">
      <c r="B674" s="3" t="s">
        <v>350</v>
      </c>
      <c r="C674" t="str" cm="1">
        <f t="array" ref="C674:E674">_xlfn.TEXTSPLIT(B674, """")</f>
        <v xml:space="preserve">phoneLaptop = </v>
      </c>
      <c r="D674" t="str">
        <v>PhoneLaptop</v>
      </c>
      <c r="E674" t="str">
        <v/>
      </c>
      <c r="F674" t="e" cm="1" vm="341">
        <f t="array" ref="F674">IF(D674="","",_xldudf_A_ENTICON(D674))</f>
        <v>#VALUE!</v>
      </c>
      <c r="H674" t="e" vm="128">
        <v>#VALUE!</v>
      </c>
    </row>
    <row r="675" spans="2:8" x14ac:dyDescent="0.25">
      <c r="B675" s="3"/>
      <c r="C675" t="e" cm="1">
        <f t="array" ref="C675">_xlfn.TEXTSPLIT(B675, """")</f>
        <v>#VALUE!</v>
      </c>
      <c r="F675" t="str" cm="1">
        <f t="array" ref="F675">IF(D675="","",_xldudf_A_ENTICON(D675))</f>
        <v/>
      </c>
      <c r="H675" t="e" vm="129">
        <v>#VALUE!</v>
      </c>
    </row>
    <row r="676" spans="2:8" x14ac:dyDescent="0.25">
      <c r="B676" s="3" t="s">
        <v>351</v>
      </c>
      <c r="C676" t="str" cm="1">
        <f t="array" ref="C676:E676">_xlfn.TEXTSPLIT(B676, """")</f>
        <v xml:space="preserve">phoneShake = </v>
      </c>
      <c r="D676" t="str">
        <v>PhoneShake</v>
      </c>
      <c r="E676" t="str">
        <v/>
      </c>
      <c r="F676" t="e" cm="1" vm="342">
        <f t="array" ref="F676">IF(D676="","",_xldudf_A_ENTICON(D676))</f>
        <v>#VALUE!</v>
      </c>
      <c r="H676" t="e" vm="130">
        <v>#VALUE!</v>
      </c>
    </row>
    <row r="677" spans="2:8" x14ac:dyDescent="0.25">
      <c r="B677" s="3"/>
      <c r="C677" t="e" cm="1">
        <f t="array" ref="C677">_xlfn.TEXTSPLIT(B677, """")</f>
        <v>#VALUE!</v>
      </c>
      <c r="F677" t="str" cm="1">
        <f t="array" ref="F677">IF(D677="","",_xldudf_A_ENTICON(D677))</f>
        <v/>
      </c>
      <c r="H677" t="e" vm="131">
        <v>#VALUE!</v>
      </c>
    </row>
    <row r="678" spans="2:8" x14ac:dyDescent="0.25">
      <c r="B678" s="3" t="s">
        <v>352</v>
      </c>
      <c r="C678" t="str" cm="1">
        <f t="array" ref="C678:E678">_xlfn.TEXTSPLIT(B678, """")</f>
        <v xml:space="preserve">phoneTablet = </v>
      </c>
      <c r="D678" t="str">
        <v>PhoneTablet</v>
      </c>
      <c r="E678" t="str">
        <v/>
      </c>
      <c r="F678" t="e" cm="1" vm="343">
        <f t="array" ref="F678">IF(D678="","",_xldudf_A_ENTICON(D678))</f>
        <v>#VALUE!</v>
      </c>
      <c r="H678" t="e" vm="132">
        <v>#VALUE!</v>
      </c>
    </row>
    <row r="679" spans="2:8" x14ac:dyDescent="0.25">
      <c r="B679" s="3"/>
      <c r="C679" t="e" cm="1">
        <f t="array" ref="C679">_xlfn.TEXTSPLIT(B679, """")</f>
        <v>#VALUE!</v>
      </c>
      <c r="F679" t="str" cm="1">
        <f t="array" ref="F679">IF(D679="","",_xldudf_A_ENTICON(D679))</f>
        <v/>
      </c>
      <c r="H679" t="e" vm="133">
        <v>#VALUE!</v>
      </c>
    </row>
    <row r="680" spans="2:8" x14ac:dyDescent="0.25">
      <c r="B680" s="3" t="s">
        <v>353</v>
      </c>
      <c r="C680" t="str" cm="1">
        <f t="array" ref="C680:E680">_xlfn.TEXTSPLIT(B680, """")</f>
        <v xml:space="preserve">phoneVibrate = </v>
      </c>
      <c r="D680" t="str">
        <v>PhoneVibrate</v>
      </c>
      <c r="E680" t="str">
        <v/>
      </c>
      <c r="F680" t="e" cm="1" vm="344">
        <f t="array" ref="F680">IF(D680="","",_xldudf_A_ENTICON(D680))</f>
        <v>#VALUE!</v>
      </c>
      <c r="H680" t="e" vm="134">
        <v>#VALUE!</v>
      </c>
    </row>
    <row r="681" spans="2:8" x14ac:dyDescent="0.25">
      <c r="B681" s="3"/>
      <c r="C681" t="e" cm="1">
        <f t="array" ref="C681">_xlfn.TEXTSPLIT(B681, """")</f>
        <v>#VALUE!</v>
      </c>
      <c r="F681" t="str" cm="1">
        <f t="array" ref="F681">IF(D681="","",_xldudf_A_ENTICON(D681))</f>
        <v/>
      </c>
      <c r="H681" t="e" vm="135">
        <v>#VALUE!</v>
      </c>
    </row>
    <row r="682" spans="2:8" x14ac:dyDescent="0.25">
      <c r="B682" s="3" t="s">
        <v>354</v>
      </c>
      <c r="C682" t="str" cm="1">
        <f t="array" ref="C682:E682">_xlfn.TEXTSPLIT(B682, """")</f>
        <v xml:space="preserve">photoFilter = </v>
      </c>
      <c r="D682" t="str">
        <v>PhotoFilter</v>
      </c>
      <c r="E682" t="str">
        <v/>
      </c>
      <c r="F682" t="e" cm="1" vm="345">
        <f t="array" ref="F682">IF(D682="","",_xldudf_A_ENTICON(D682))</f>
        <v>#VALUE!</v>
      </c>
      <c r="H682" t="e" vm="136">
        <v>#VALUE!</v>
      </c>
    </row>
    <row r="683" spans="2:8" x14ac:dyDescent="0.25">
      <c r="B683" s="3"/>
      <c r="C683" t="e" cm="1">
        <f t="array" ref="C683">_xlfn.TEXTSPLIT(B683, """")</f>
        <v>#VALUE!</v>
      </c>
      <c r="F683" t="str" cm="1">
        <f t="array" ref="F683">IF(D683="","",_xldudf_A_ENTICON(D683))</f>
        <v/>
      </c>
      <c r="H683" t="e" vm="137">
        <v>#VALUE!</v>
      </c>
    </row>
    <row r="684" spans="2:8" x14ac:dyDescent="0.25">
      <c r="B684" s="3" t="s">
        <v>355</v>
      </c>
      <c r="C684" t="str" cm="1">
        <f t="array" ref="C684:E684">_xlfn.TEXTSPLIT(B684, """")</f>
        <v xml:space="preserve">pi = </v>
      </c>
      <c r="D684" t="str">
        <v>Pi</v>
      </c>
      <c r="E684" t="str">
        <v/>
      </c>
      <c r="F684" t="e" cm="1" vm="346">
        <f t="array" ref="F684">IF(D684="","",_xldudf_A_ENTICON(D684))</f>
        <v>#VALUE!</v>
      </c>
      <c r="H684" t="e" vm="138">
        <v>#VALUE!</v>
      </c>
    </row>
    <row r="685" spans="2:8" x14ac:dyDescent="0.25">
      <c r="B685" s="3"/>
      <c r="C685" t="e" cm="1">
        <f t="array" ref="C685">_xlfn.TEXTSPLIT(B685, """")</f>
        <v>#VALUE!</v>
      </c>
      <c r="F685" t="str" cm="1">
        <f t="array" ref="F685">IF(D685="","",_xldudf_A_ENTICON(D685))</f>
        <v/>
      </c>
      <c r="H685" t="e" vm="139">
        <v>#VALUE!</v>
      </c>
    </row>
    <row r="686" spans="2:8" x14ac:dyDescent="0.25">
      <c r="B686" s="3" t="s">
        <v>356</v>
      </c>
      <c r="C686" t="str" cm="1">
        <f t="array" ref="C686:E686">_xlfn.TEXTSPLIT(B686, """")</f>
        <v xml:space="preserve">pictureInPicture = </v>
      </c>
      <c r="D686" t="str">
        <v>PictureInPicture</v>
      </c>
      <c r="E686" t="str">
        <v/>
      </c>
      <c r="F686" t="e" cm="1" vm="347">
        <f t="array" ref="F686">IF(D686="","",_xldudf_A_ENTICON(D686))</f>
        <v>#VALUE!</v>
      </c>
      <c r="H686" t="e" vm="140">
        <v>#VALUE!</v>
      </c>
    </row>
    <row r="687" spans="2:8" x14ac:dyDescent="0.25">
      <c r="B687" s="3"/>
      <c r="C687" t="e" cm="1">
        <f t="array" ref="C687">_xlfn.TEXTSPLIT(B687, """")</f>
        <v>#VALUE!</v>
      </c>
      <c r="F687" t="str" cm="1">
        <f t="array" ref="F687">IF(D687="","",_xldudf_A_ENTICON(D687))</f>
        <v/>
      </c>
      <c r="H687" t="e" vm="141">
        <v>#VALUE!</v>
      </c>
    </row>
    <row r="688" spans="2:8" x14ac:dyDescent="0.25">
      <c r="B688" s="3" t="s">
        <v>357</v>
      </c>
      <c r="C688" t="str" cm="1">
        <f t="array" ref="C688:E688">_xlfn.TEXTSPLIT(B688, """")</f>
        <v xml:space="preserve">pilates = </v>
      </c>
      <c r="D688" t="str">
        <v>Pilates</v>
      </c>
      <c r="E688" t="str">
        <v/>
      </c>
      <c r="F688" t="e" cm="1" vm="348">
        <f t="array" ref="F688">IF(D688="","",_xldudf_A_ENTICON(D688))</f>
        <v>#VALUE!</v>
      </c>
      <c r="H688" t="e" vm="142">
        <v>#VALUE!</v>
      </c>
    </row>
    <row r="689" spans="2:8" x14ac:dyDescent="0.25">
      <c r="B689" s="3"/>
      <c r="C689" t="e" cm="1">
        <f t="array" ref="C689">_xlfn.TEXTSPLIT(B689, """")</f>
        <v>#VALUE!</v>
      </c>
      <c r="F689" t="str" cm="1">
        <f t="array" ref="F689">IF(D689="","",_xldudf_A_ENTICON(D689))</f>
        <v/>
      </c>
      <c r="H689" t="e" vm="143">
        <v>#VALUE!</v>
      </c>
    </row>
    <row r="690" spans="2:8" x14ac:dyDescent="0.25">
      <c r="B690" s="3" t="s">
        <v>358</v>
      </c>
      <c r="C690" t="str" cm="1">
        <f t="array" ref="C690:E690">_xlfn.TEXTSPLIT(B690, """")</f>
        <v xml:space="preserve">pill = </v>
      </c>
      <c r="D690" t="str">
        <v>Pill</v>
      </c>
      <c r="E690" t="str">
        <v/>
      </c>
      <c r="F690" t="e" cm="1" vm="349">
        <f t="array" ref="F690">IF(D690="","",_xldudf_A_ENTICON(D690))</f>
        <v>#VALUE!</v>
      </c>
      <c r="H690" t="e" vm="144">
        <v>#VALUE!</v>
      </c>
    </row>
    <row r="691" spans="2:8" x14ac:dyDescent="0.25">
      <c r="B691" s="3"/>
      <c r="C691" t="e" cm="1">
        <f t="array" ref="C691">_xlfn.TEXTSPLIT(B691, """")</f>
        <v>#VALUE!</v>
      </c>
      <c r="F691" t="str" cm="1">
        <f t="array" ref="F691">IF(D691="","",_xldudf_A_ENTICON(D691))</f>
        <v/>
      </c>
      <c r="H691" t="e" vm="145">
        <v>#VALUE!</v>
      </c>
    </row>
    <row r="692" spans="2:8" x14ac:dyDescent="0.25">
      <c r="B692" s="3" t="s">
        <v>359</v>
      </c>
      <c r="C692" t="str" cm="1">
        <f t="array" ref="C692:E692">_xlfn.TEXTSPLIT(B692, """")</f>
        <v xml:space="preserve">pin = </v>
      </c>
      <c r="D692" t="str">
        <v>Pin</v>
      </c>
      <c r="E692" t="str">
        <v/>
      </c>
      <c r="F692" t="e" cm="1" vm="350">
        <f t="array" ref="F692">IF(D692="","",_xldudf_A_ENTICON(D692))</f>
        <v>#VALUE!</v>
      </c>
      <c r="H692" t="e" vm="146">
        <v>#VALUE!</v>
      </c>
    </row>
    <row r="693" spans="2:8" x14ac:dyDescent="0.25">
      <c r="B693" s="3"/>
      <c r="C693" t="e" cm="1">
        <f t="array" ref="C693">_xlfn.TEXTSPLIT(B693, """")</f>
        <v>#VALUE!</v>
      </c>
      <c r="F693" t="str" cm="1">
        <f t="array" ref="F693">IF(D693="","",_xldudf_A_ENTICON(D693))</f>
        <v/>
      </c>
      <c r="H693" t="e" vm="147">
        <v>#VALUE!</v>
      </c>
    </row>
    <row r="694" spans="2:8" x14ac:dyDescent="0.25">
      <c r="B694" s="3" t="s">
        <v>360</v>
      </c>
      <c r="C694" t="str" cm="1">
        <f t="array" ref="C694:E694">_xlfn.TEXTSPLIT(B694, """")</f>
        <v xml:space="preserve">pipeline = </v>
      </c>
      <c r="D694" t="str">
        <v>Pipeline</v>
      </c>
      <c r="E694" t="str">
        <v/>
      </c>
      <c r="F694" t="e" cm="1" vm="351">
        <f t="array" ref="F694">IF(D694="","",_xldudf_A_ENTICON(D694))</f>
        <v>#VALUE!</v>
      </c>
      <c r="H694" t="e" vm="148">
        <v>#VALUE!</v>
      </c>
    </row>
    <row r="695" spans="2:8" x14ac:dyDescent="0.25">
      <c r="B695" s="3"/>
      <c r="C695" t="e" cm="1">
        <f t="array" ref="C695">_xlfn.TEXTSPLIT(B695, """")</f>
        <v>#VALUE!</v>
      </c>
      <c r="F695" t="str" cm="1">
        <f t="array" ref="F695">IF(D695="","",_xldudf_A_ENTICON(D695))</f>
        <v/>
      </c>
      <c r="H695" t="e" vm="149">
        <v>#VALUE!</v>
      </c>
    </row>
    <row r="696" spans="2:8" x14ac:dyDescent="0.25">
      <c r="B696" s="3" t="s">
        <v>361</v>
      </c>
      <c r="C696" t="str" cm="1">
        <f t="array" ref="C696:E696">_xlfn.TEXTSPLIT(B696, """")</f>
        <v xml:space="preserve">planet = </v>
      </c>
      <c r="D696" t="str">
        <v>Planet</v>
      </c>
      <c r="E696" t="str">
        <v/>
      </c>
      <c r="F696" t="e" cm="1" vm="352">
        <f t="array" ref="F696">IF(D696="","",_xldudf_A_ENTICON(D696))</f>
        <v>#VALUE!</v>
      </c>
      <c r="H696" t="e" vm="150">
        <v>#VALUE!</v>
      </c>
    </row>
    <row r="697" spans="2:8" x14ac:dyDescent="0.25">
      <c r="B697" s="3"/>
      <c r="C697" t="e" cm="1">
        <f t="array" ref="C697">_xlfn.TEXTSPLIT(B697, """")</f>
        <v>#VALUE!</v>
      </c>
      <c r="F697" t="str" cm="1">
        <f t="array" ref="F697">IF(D697="","",_xldudf_A_ENTICON(D697))</f>
        <v/>
      </c>
      <c r="H697" t="e" vm="151">
        <v>#VALUE!</v>
      </c>
    </row>
    <row r="698" spans="2:8" x14ac:dyDescent="0.25">
      <c r="B698" s="3" t="s">
        <v>362</v>
      </c>
      <c r="C698" t="str" cm="1">
        <f t="array" ref="C698:E698">_xlfn.TEXTSPLIT(B698, """")</f>
        <v xml:space="preserve">playingCards = </v>
      </c>
      <c r="D698" t="str">
        <v>PlayingCards</v>
      </c>
      <c r="E698" t="str">
        <v/>
      </c>
      <c r="F698" t="e" cm="1" vm="353">
        <f t="array" ref="F698">IF(D698="","",_xldudf_A_ENTICON(D698))</f>
        <v>#VALUE!</v>
      </c>
      <c r="H698" t="e" vm="152">
        <v>#VALUE!</v>
      </c>
    </row>
    <row r="699" spans="2:8" x14ac:dyDescent="0.25">
      <c r="B699" s="3"/>
      <c r="C699" t="e" cm="1">
        <f t="array" ref="C699">_xlfn.TEXTSPLIT(B699, """")</f>
        <v>#VALUE!</v>
      </c>
      <c r="F699" t="str" cm="1">
        <f t="array" ref="F699">IF(D699="","",_xldudf_A_ENTICON(D699))</f>
        <v/>
      </c>
      <c r="H699" t="e" vm="153">
        <v>#VALUE!</v>
      </c>
    </row>
    <row r="700" spans="2:8" x14ac:dyDescent="0.25">
      <c r="B700" s="3" t="s">
        <v>363</v>
      </c>
      <c r="C700" t="str" cm="1">
        <f t="array" ref="C700:E700">_xlfn.TEXTSPLIT(B700, """")</f>
        <v xml:space="preserve">plugConnected = </v>
      </c>
      <c r="D700" t="str">
        <v>PlugConnected</v>
      </c>
      <c r="E700" t="str">
        <v/>
      </c>
      <c r="F700" t="e" cm="1" vm="354">
        <f t="array" ref="F700">IF(D700="","",_xldudf_A_ENTICON(D700))</f>
        <v>#VALUE!</v>
      </c>
      <c r="H700" t="e" vm="154">
        <v>#VALUE!</v>
      </c>
    </row>
    <row r="701" spans="2:8" x14ac:dyDescent="0.25">
      <c r="B701" s="3"/>
      <c r="C701" t="e" cm="1">
        <f t="array" ref="C701">_xlfn.TEXTSPLIT(B701, """")</f>
        <v>#VALUE!</v>
      </c>
      <c r="F701" t="str" cm="1">
        <f t="array" ref="F701">IF(D701="","",_xldudf_A_ENTICON(D701))</f>
        <v/>
      </c>
      <c r="H701" t="e" vm="155">
        <v>#VALUE!</v>
      </c>
    </row>
    <row r="702" spans="2:8" x14ac:dyDescent="0.25">
      <c r="B702" s="3" t="s">
        <v>364</v>
      </c>
      <c r="C702" t="str" cm="1">
        <f t="array" ref="C702:E702">_xlfn.TEXTSPLIT(B702, """")</f>
        <v xml:space="preserve">plugDisconnected = </v>
      </c>
      <c r="D702" t="str">
        <v>PlugDisconnected</v>
      </c>
      <c r="E702" t="str">
        <v/>
      </c>
      <c r="F702" t="e" cm="1" vm="355">
        <f t="array" ref="F702">IF(D702="","",_xldudf_A_ENTICON(D702))</f>
        <v>#VALUE!</v>
      </c>
      <c r="H702" t="e" vm="156">
        <v>#VALUE!</v>
      </c>
    </row>
    <row r="703" spans="2:8" x14ac:dyDescent="0.25">
      <c r="B703" s="3"/>
      <c r="C703" t="e" cm="1">
        <f t="array" ref="C703">_xlfn.TEXTSPLIT(B703, """")</f>
        <v>#VALUE!</v>
      </c>
      <c r="F703" t="str" cm="1">
        <f t="array" ref="F703">IF(D703="","",_xldudf_A_ENTICON(D703))</f>
        <v/>
      </c>
      <c r="H703" t="e" vm="157">
        <v>#VALUE!</v>
      </c>
    </row>
    <row r="704" spans="2:8" x14ac:dyDescent="0.25">
      <c r="B704" s="3" t="s">
        <v>365</v>
      </c>
      <c r="C704" t="str" cm="1">
        <f t="array" ref="C704:E704">_xlfn.TEXTSPLIT(B704, """")</f>
        <v xml:space="preserve">pointScan = </v>
      </c>
      <c r="D704" t="str">
        <v>PointScan</v>
      </c>
      <c r="E704" t="str">
        <v/>
      </c>
      <c r="F704" t="e" cm="1" vm="356">
        <f t="array" ref="F704">IF(D704="","",_xldudf_A_ENTICON(D704))</f>
        <v>#VALUE!</v>
      </c>
      <c r="H704" t="e" vm="158">
        <v>#VALUE!</v>
      </c>
    </row>
    <row r="705" spans="2:8" x14ac:dyDescent="0.25">
      <c r="B705" s="3"/>
      <c r="C705" t="e" cm="1">
        <f t="array" ref="C705">_xlfn.TEXTSPLIT(B705, """")</f>
        <v>#VALUE!</v>
      </c>
      <c r="F705" t="str" cm="1">
        <f t="array" ref="F705">IF(D705="","",_xldudf_A_ENTICON(D705))</f>
        <v/>
      </c>
      <c r="H705" t="e" vm="159">
        <v>#VALUE!</v>
      </c>
    </row>
    <row r="706" spans="2:8" x14ac:dyDescent="0.25">
      <c r="B706" s="3" t="s">
        <v>366</v>
      </c>
      <c r="C706" t="str" cm="1">
        <f t="array" ref="C706:E706">_xlfn.TEXTSPLIT(B706, """")</f>
        <v xml:space="preserve">poll = </v>
      </c>
      <c r="D706" t="str">
        <v>Poll</v>
      </c>
      <c r="E706" t="str">
        <v/>
      </c>
      <c r="F706" t="e" cm="1" vm="357">
        <f t="array" ref="F706">IF(D706="","",_xldudf_A_ENTICON(D706))</f>
        <v>#VALUE!</v>
      </c>
      <c r="H706" t="e" vm="160">
        <v>#VALUE!</v>
      </c>
    </row>
    <row r="707" spans="2:8" x14ac:dyDescent="0.25">
      <c r="B707" s="3"/>
      <c r="C707" t="e" cm="1">
        <f t="array" ref="C707">_xlfn.TEXTSPLIT(B707, """")</f>
        <v>#VALUE!</v>
      </c>
      <c r="F707" t="str" cm="1">
        <f t="array" ref="F707">IF(D707="","",_xldudf_A_ENTICON(D707))</f>
        <v/>
      </c>
      <c r="H707" t="e" vm="161">
        <v>#VALUE!</v>
      </c>
    </row>
    <row r="708" spans="2:8" x14ac:dyDescent="0.25">
      <c r="B708" s="3" t="s">
        <v>367</v>
      </c>
      <c r="C708" t="str" cm="1">
        <f t="array" ref="C708:E708">_xlfn.TEXTSPLIT(B708, """")</f>
        <v xml:space="preserve">power = </v>
      </c>
      <c r="D708" t="str">
        <v>Power</v>
      </c>
      <c r="E708" t="str">
        <v/>
      </c>
      <c r="F708" t="e" cm="1" vm="358">
        <f t="array" ref="F708">IF(D708="","",_xldudf_A_ENTICON(D708))</f>
        <v>#VALUE!</v>
      </c>
      <c r="H708" t="e" vm="162">
        <v>#VALUE!</v>
      </c>
    </row>
    <row r="709" spans="2:8" x14ac:dyDescent="0.25">
      <c r="B709" s="3"/>
      <c r="C709" t="e" cm="1">
        <f t="array" ref="C709">_xlfn.TEXTSPLIT(B709, """")</f>
        <v>#VALUE!</v>
      </c>
      <c r="F709" t="str" cm="1">
        <f t="array" ref="F709">IF(D709="","",_xldudf_A_ENTICON(D709))</f>
        <v/>
      </c>
      <c r="H709" t="e" vm="163">
        <v>#VALUE!</v>
      </c>
    </row>
    <row r="710" spans="2:8" x14ac:dyDescent="0.25">
      <c r="B710" s="3" t="s">
        <v>368</v>
      </c>
      <c r="C710" t="str" cm="1">
        <f t="array" ref="C710:E710">_xlfn.TEXTSPLIT(B710, """")</f>
        <v xml:space="preserve">predictions = </v>
      </c>
      <c r="D710" t="str">
        <v>Predictions</v>
      </c>
      <c r="E710" t="str">
        <v/>
      </c>
      <c r="F710" t="e" cm="1" vm="359">
        <f t="array" ref="F710">IF(D710="","",_xldudf_A_ENTICON(D710))</f>
        <v>#VALUE!</v>
      </c>
      <c r="H710" t="e" vm="164">
        <v>#VALUE!</v>
      </c>
    </row>
    <row r="711" spans="2:8" x14ac:dyDescent="0.25">
      <c r="B711" s="3"/>
      <c r="C711" t="e" cm="1">
        <f t="array" ref="C711">_xlfn.TEXTSPLIT(B711, """")</f>
        <v>#VALUE!</v>
      </c>
      <c r="F711" t="str" cm="1">
        <f t="array" ref="F711">IF(D711="","",_xldudf_A_ENTICON(D711))</f>
        <v/>
      </c>
      <c r="H711" t="e" vm="165">
        <v>#VALUE!</v>
      </c>
    </row>
    <row r="712" spans="2:8" x14ac:dyDescent="0.25">
      <c r="B712" s="3" t="s">
        <v>369</v>
      </c>
      <c r="C712" t="str" cm="1">
        <f t="array" ref="C712:E712">_xlfn.TEXTSPLIT(B712, """")</f>
        <v xml:space="preserve">premium = </v>
      </c>
      <c r="D712" t="str">
        <v>Premium</v>
      </c>
      <c r="E712" t="str">
        <v/>
      </c>
      <c r="F712" t="e" cm="1" vm="360">
        <f t="array" ref="F712">IF(D712="","",_xldudf_A_ENTICON(D712))</f>
        <v>#VALUE!</v>
      </c>
      <c r="H712" t="e" vm="166">
        <v>#VALUE!</v>
      </c>
    </row>
    <row r="713" spans="2:8" x14ac:dyDescent="0.25">
      <c r="B713" s="3"/>
      <c r="C713" t="e" cm="1">
        <f t="array" ref="C713">_xlfn.TEXTSPLIT(B713, """")</f>
        <v>#VALUE!</v>
      </c>
      <c r="F713" t="str" cm="1">
        <f t="array" ref="F713">IF(D713="","",_xldudf_A_ENTICON(D713))</f>
        <v/>
      </c>
      <c r="H713" t="e" vm="167">
        <v>#VALUE!</v>
      </c>
    </row>
    <row r="714" spans="2:8" x14ac:dyDescent="0.25">
      <c r="B714" s="3" t="s">
        <v>370</v>
      </c>
      <c r="C714" t="str" cm="1">
        <f t="array" ref="C714:E714">_xlfn.TEXTSPLIT(B714, """")</f>
        <v xml:space="preserve">presenter = </v>
      </c>
      <c r="D714" t="str">
        <v>Presenter</v>
      </c>
      <c r="E714" t="str">
        <v/>
      </c>
      <c r="F714" t="e" cm="1" vm="361">
        <f t="array" ref="F714">IF(D714="","",_xldudf_A_ENTICON(D714))</f>
        <v>#VALUE!</v>
      </c>
      <c r="H714" t="e" vm="168">
        <v>#VALUE!</v>
      </c>
    </row>
    <row r="715" spans="2:8" x14ac:dyDescent="0.25">
      <c r="B715" s="3"/>
      <c r="C715" t="e" cm="1">
        <f t="array" ref="C715">_xlfn.TEXTSPLIT(B715, """")</f>
        <v>#VALUE!</v>
      </c>
      <c r="F715" t="str" cm="1">
        <f t="array" ref="F715">IF(D715="","",_xldudf_A_ENTICON(D715))</f>
        <v/>
      </c>
      <c r="H715" t="e" vm="169">
        <v>#VALUE!</v>
      </c>
    </row>
    <row r="716" spans="2:8" x14ac:dyDescent="0.25">
      <c r="B716" s="3" t="s">
        <v>371</v>
      </c>
      <c r="C716" t="str" cm="1">
        <f t="array" ref="C716:E716">_xlfn.TEXTSPLIT(B716, """")</f>
        <v xml:space="preserve">previewLink = </v>
      </c>
      <c r="D716" t="str">
        <v>PreviewLink</v>
      </c>
      <c r="E716" t="str">
        <v/>
      </c>
      <c r="F716" t="e" cm="1" vm="362">
        <f t="array" ref="F716">IF(D716="","",_xldudf_A_ENTICON(D716))</f>
        <v>#VALUE!</v>
      </c>
      <c r="H716" t="e" vm="170">
        <v>#VALUE!</v>
      </c>
    </row>
    <row r="717" spans="2:8" x14ac:dyDescent="0.25">
      <c r="B717" s="3"/>
      <c r="C717" t="e" cm="1">
        <f t="array" ref="C717">_xlfn.TEXTSPLIT(B717, """")</f>
        <v>#VALUE!</v>
      </c>
      <c r="F717" t="str" cm="1">
        <f t="array" ref="F717">IF(D717="","",_xldudf_A_ENTICON(D717))</f>
        <v/>
      </c>
      <c r="H717" t="e" vm="171">
        <v>#VALUE!</v>
      </c>
    </row>
    <row r="718" spans="2:8" x14ac:dyDescent="0.25">
      <c r="B718" s="3" t="s">
        <v>372</v>
      </c>
      <c r="C718" t="str" cm="1">
        <f t="array" ref="C718:E718">_xlfn.TEXTSPLIT(B718, """")</f>
        <v xml:space="preserve">print = </v>
      </c>
      <c r="D718" t="str">
        <v>Print</v>
      </c>
      <c r="E718" t="str">
        <v/>
      </c>
      <c r="F718" t="e" cm="1" vm="363">
        <f t="array" ref="F718">IF(D718="","",_xldudf_A_ENTICON(D718))</f>
        <v>#VALUE!</v>
      </c>
      <c r="H718" t="e" vm="172">
        <v>#VALUE!</v>
      </c>
    </row>
    <row r="719" spans="2:8" x14ac:dyDescent="0.25">
      <c r="B719" s="3"/>
      <c r="C719" t="e" cm="1">
        <f t="array" ref="C719">_xlfn.TEXTSPLIT(B719, """")</f>
        <v>#VALUE!</v>
      </c>
      <c r="F719" t="str" cm="1">
        <f t="array" ref="F719">IF(D719="","",_xldudf_A_ENTICON(D719))</f>
        <v/>
      </c>
      <c r="H719" t="e" vm="173">
        <v>#VALUE!</v>
      </c>
    </row>
    <row r="720" spans="2:8" x14ac:dyDescent="0.25">
      <c r="B720" s="3" t="s">
        <v>373</v>
      </c>
      <c r="C720" t="str" cm="1">
        <f t="array" ref="C720:E720">_xlfn.TEXTSPLIT(B720, """")</f>
        <v xml:space="preserve">production = </v>
      </c>
      <c r="D720" t="str">
        <v>Production</v>
      </c>
      <c r="E720" t="str">
        <v/>
      </c>
      <c r="F720" t="e" cm="1" vm="364">
        <f t="array" ref="F720">IF(D720="","",_xldudf_A_ENTICON(D720))</f>
        <v>#VALUE!</v>
      </c>
      <c r="H720" t="e" vm="174">
        <v>#VALUE!</v>
      </c>
    </row>
    <row r="721" spans="2:8" x14ac:dyDescent="0.25">
      <c r="B721" s="3"/>
      <c r="C721" t="e" cm="1">
        <f t="array" ref="C721">_xlfn.TEXTSPLIT(B721, """")</f>
        <v>#VALUE!</v>
      </c>
      <c r="F721" t="str" cm="1">
        <f t="array" ref="F721">IF(D721="","",_xldudf_A_ENTICON(D721))</f>
        <v/>
      </c>
      <c r="H721" t="e" vm="175">
        <v>#VALUE!</v>
      </c>
    </row>
    <row r="722" spans="2:8" x14ac:dyDescent="0.25">
      <c r="B722" s="3" t="s">
        <v>374</v>
      </c>
      <c r="C722" t="str" cm="1">
        <f t="array" ref="C722:E722">_xlfn.TEXTSPLIT(B722, """")</f>
        <v xml:space="preserve">prohibited = </v>
      </c>
      <c r="D722" t="str">
        <v>Prohibited</v>
      </c>
      <c r="E722" t="str">
        <v/>
      </c>
      <c r="F722" t="e" cm="1" vm="365">
        <f t="array" ref="F722">IF(D722="","",_xldudf_A_ENTICON(D722))</f>
        <v>#VALUE!</v>
      </c>
      <c r="H722" t="e" vm="176">
        <v>#VALUE!</v>
      </c>
    </row>
    <row r="723" spans="2:8" x14ac:dyDescent="0.25">
      <c r="B723" s="3"/>
      <c r="C723" t="e" cm="1">
        <f t="array" ref="C723">_xlfn.TEXTSPLIT(B723, """")</f>
        <v>#VALUE!</v>
      </c>
      <c r="F723" t="str" cm="1">
        <f t="array" ref="F723">IF(D723="","",_xldudf_A_ENTICON(D723))</f>
        <v/>
      </c>
      <c r="H723" t="e" vm="177">
        <v>#VALUE!</v>
      </c>
    </row>
    <row r="724" spans="2:8" x14ac:dyDescent="0.25">
      <c r="B724" s="3" t="s">
        <v>375</v>
      </c>
      <c r="C724" t="str" cm="1">
        <f t="array" ref="C724:E724">_xlfn.TEXTSPLIT(B724, """")</f>
        <v xml:space="preserve">projectionScreen = </v>
      </c>
      <c r="D724" t="str">
        <v>ProjectionScreen</v>
      </c>
      <c r="E724" t="str">
        <v/>
      </c>
      <c r="F724" t="e" cm="1" vm="366">
        <f t="array" ref="F724">IF(D724="","",_xldudf_A_ENTICON(D724))</f>
        <v>#VALUE!</v>
      </c>
      <c r="H724" t="e" vm="178">
        <v>#VALUE!</v>
      </c>
    </row>
    <row r="725" spans="2:8" x14ac:dyDescent="0.25">
      <c r="B725" s="3"/>
      <c r="C725" t="e" cm="1">
        <f t="array" ref="C725">_xlfn.TEXTSPLIT(B725, """")</f>
        <v>#VALUE!</v>
      </c>
      <c r="F725" t="str" cm="1">
        <f t="array" ref="F725">IF(D725="","",_xldudf_A_ENTICON(D725))</f>
        <v/>
      </c>
      <c r="H725" t="e" vm="179">
        <v>#VALUE!</v>
      </c>
    </row>
    <row r="726" spans="2:8" x14ac:dyDescent="0.25">
      <c r="B726" s="3" t="s">
        <v>376</v>
      </c>
      <c r="C726" t="str" cm="1">
        <f t="array" ref="C726:E726">_xlfn.TEXTSPLIT(B726, """")</f>
        <v xml:space="preserve">protocolHandler = </v>
      </c>
      <c r="D726" t="str">
        <v>ProtocolHandler</v>
      </c>
      <c r="E726" t="str">
        <v/>
      </c>
      <c r="F726" t="e" cm="1" vm="367">
        <f t="array" ref="F726">IF(D726="","",_xldudf_A_ENTICON(D726))</f>
        <v>#VALUE!</v>
      </c>
      <c r="H726" t="e" vm="180">
        <v>#VALUE!</v>
      </c>
    </row>
    <row r="727" spans="2:8" x14ac:dyDescent="0.25">
      <c r="B727" s="3"/>
      <c r="C727" t="e" cm="1">
        <f t="array" ref="C727">_xlfn.TEXTSPLIT(B727, """")</f>
        <v>#VALUE!</v>
      </c>
      <c r="F727" t="str" cm="1">
        <f t="array" ref="F727">IF(D727="","",_xldudf_A_ENTICON(D727))</f>
        <v/>
      </c>
      <c r="H727" t="e" vm="181">
        <v>#VALUE!</v>
      </c>
    </row>
    <row r="728" spans="2:8" x14ac:dyDescent="0.25">
      <c r="B728" s="3" t="s">
        <v>377</v>
      </c>
      <c r="C728" t="str" cm="1">
        <f t="array" ref="C728:E728">_xlfn.TEXTSPLIT(B728, """")</f>
        <v xml:space="preserve">pulse = </v>
      </c>
      <c r="D728" t="str">
        <v>Pulse</v>
      </c>
      <c r="E728" t="str">
        <v/>
      </c>
      <c r="F728" t="e" cm="1" vm="368">
        <f t="array" ref="F728">IF(D728="","",_xldudf_A_ENTICON(D728))</f>
        <v>#VALUE!</v>
      </c>
      <c r="H728" t="e" vm="182">
        <v>#VALUE!</v>
      </c>
    </row>
    <row r="729" spans="2:8" x14ac:dyDescent="0.25">
      <c r="B729" s="3"/>
      <c r="C729" t="e" cm="1">
        <f t="array" ref="C729">_xlfn.TEXTSPLIT(B729, """")</f>
        <v>#VALUE!</v>
      </c>
      <c r="F729" t="str" cm="1">
        <f t="array" ref="F729">IF(D729="","",_xldudf_A_ENTICON(D729))</f>
        <v/>
      </c>
      <c r="H729" t="e" vm="183">
        <v>#VALUE!</v>
      </c>
    </row>
    <row r="730" spans="2:8" x14ac:dyDescent="0.25">
      <c r="B730" s="3" t="s">
        <v>378</v>
      </c>
      <c r="C730" t="str" cm="1">
        <f t="array" ref="C730:E730">_xlfn.TEXTSPLIT(B730, """")</f>
        <v xml:space="preserve">pulseSquare = </v>
      </c>
      <c r="D730" t="str">
        <v>PulseSquare</v>
      </c>
      <c r="E730" t="str">
        <v/>
      </c>
      <c r="F730" t="e" cm="1" vm="369">
        <f t="array" ref="F730">IF(D730="","",_xldudf_A_ENTICON(D730))</f>
        <v>#VALUE!</v>
      </c>
      <c r="H730" t="e" vm="184">
        <v>#VALUE!</v>
      </c>
    </row>
    <row r="731" spans="2:8" x14ac:dyDescent="0.25">
      <c r="B731" s="3"/>
      <c r="C731" t="e" cm="1">
        <f t="array" ref="C731">_xlfn.TEXTSPLIT(B731, """")</f>
        <v>#VALUE!</v>
      </c>
      <c r="F731" t="str" cm="1">
        <f t="array" ref="F731">IF(D731="","",_xldudf_A_ENTICON(D731))</f>
        <v/>
      </c>
      <c r="H731" t="e" vm="185">
        <v>#VALUE!</v>
      </c>
    </row>
    <row r="732" spans="2:8" x14ac:dyDescent="0.25">
      <c r="B732" s="3" t="s">
        <v>379</v>
      </c>
      <c r="C732" t="str" cm="1">
        <f t="array" ref="C732:E732">_xlfn.TEXTSPLIT(B732, """")</f>
        <v xml:space="preserve">puzzlePiece = </v>
      </c>
      <c r="D732" t="str">
        <v>PuzzlePiece</v>
      </c>
      <c r="E732" t="str">
        <v/>
      </c>
      <c r="F732" t="e" cm="1" vm="370">
        <f t="array" ref="F732">IF(D732="","",_xldudf_A_ENTICON(D732))</f>
        <v>#VALUE!</v>
      </c>
      <c r="H732" t="e" vm="186">
        <v>#VALUE!</v>
      </c>
    </row>
    <row r="733" spans="2:8" x14ac:dyDescent="0.25">
      <c r="B733" s="3"/>
      <c r="C733" t="e" cm="1">
        <f t="array" ref="C733">_xlfn.TEXTSPLIT(B733, """")</f>
        <v>#VALUE!</v>
      </c>
      <c r="F733" t="str" cm="1">
        <f t="array" ref="F733">IF(D733="","",_xldudf_A_ENTICON(D733))</f>
        <v/>
      </c>
      <c r="H733" t="e" vm="187">
        <v>#VALUE!</v>
      </c>
    </row>
    <row r="734" spans="2:8" x14ac:dyDescent="0.25">
      <c r="B734" s="3" t="s">
        <v>380</v>
      </c>
      <c r="C734" t="str" cm="1">
        <f t="array" ref="C734:E734">_xlfn.TEXTSPLIT(B734, """")</f>
        <v xml:space="preserve">qrCode = </v>
      </c>
      <c r="D734" t="str">
        <v>QrCode</v>
      </c>
      <c r="E734" t="str">
        <v/>
      </c>
      <c r="F734" t="e" cm="1" vm="371">
        <f t="array" ref="F734">IF(D734="","",_xldudf_A_ENTICON(D734))</f>
        <v>#VALUE!</v>
      </c>
      <c r="H734" t="e" vm="188">
        <v>#VALUE!</v>
      </c>
    </row>
    <row r="735" spans="2:8" x14ac:dyDescent="0.25">
      <c r="B735" s="3"/>
      <c r="C735" t="e" cm="1">
        <f t="array" ref="C735">_xlfn.TEXTSPLIT(B735, """")</f>
        <v>#VALUE!</v>
      </c>
      <c r="F735" t="str" cm="1">
        <f t="array" ref="F735">IF(D735="","",_xldudf_A_ENTICON(D735))</f>
        <v/>
      </c>
      <c r="H735" t="e" vm="189">
        <v>#VALUE!</v>
      </c>
    </row>
    <row r="736" spans="2:8" x14ac:dyDescent="0.25">
      <c r="B736" s="3" t="s">
        <v>381</v>
      </c>
      <c r="C736" t="str" cm="1">
        <f t="array" ref="C736:E736">_xlfn.TEXTSPLIT(B736, """")</f>
        <v xml:space="preserve">radar = </v>
      </c>
      <c r="D736" t="str">
        <v>Radar</v>
      </c>
      <c r="E736" t="str">
        <v/>
      </c>
      <c r="F736" t="e" cm="1" vm="372">
        <f t="array" ref="F736">IF(D736="","",_xldudf_A_ENTICON(D736))</f>
        <v>#VALUE!</v>
      </c>
      <c r="H736" t="e" vm="190">
        <v>#VALUE!</v>
      </c>
    </row>
    <row r="737" spans="2:8" x14ac:dyDescent="0.25">
      <c r="B737" s="3"/>
      <c r="C737" t="e" cm="1">
        <f t="array" ref="C737">_xlfn.TEXTSPLIT(B737, """")</f>
        <v>#VALUE!</v>
      </c>
      <c r="F737" t="str" cm="1">
        <f t="array" ref="F737">IF(D737="","",_xldudf_A_ENTICON(D737))</f>
        <v/>
      </c>
      <c r="H737" t="e" vm="191">
        <v>#VALUE!</v>
      </c>
    </row>
    <row r="738" spans="2:8" x14ac:dyDescent="0.25">
      <c r="B738" s="3" t="s">
        <v>382</v>
      </c>
      <c r="C738" t="str" cm="1">
        <f t="array" ref="C738:E738">_xlfn.TEXTSPLIT(B738, """")</f>
        <v xml:space="preserve">ram = </v>
      </c>
      <c r="D738" t="str">
        <v>Ram</v>
      </c>
      <c r="E738" t="str">
        <v/>
      </c>
      <c r="F738" t="e" cm="1" vm="373">
        <f t="array" ref="F738">IF(D738="","",_xldudf_A_ENTICON(D738))</f>
        <v>#VALUE!</v>
      </c>
      <c r="H738" t="e" vm="192">
        <v>#VALUE!</v>
      </c>
    </row>
    <row r="739" spans="2:8" x14ac:dyDescent="0.25">
      <c r="B739" s="3"/>
      <c r="C739" t="e" cm="1">
        <f t="array" ref="C739">_xlfn.TEXTSPLIT(B739, """")</f>
        <v>#VALUE!</v>
      </c>
      <c r="F739" t="str" cm="1">
        <f t="array" ref="F739">IF(D739="","",_xldudf_A_ENTICON(D739))</f>
        <v/>
      </c>
      <c r="H739" t="e" vm="193">
        <v>#VALUE!</v>
      </c>
    </row>
    <row r="740" spans="2:8" x14ac:dyDescent="0.25">
      <c r="B740" s="3" t="s">
        <v>383</v>
      </c>
      <c r="C740" t="str" cm="1">
        <f t="array" ref="C740:E740">_xlfn.TEXTSPLIT(B740, """")</f>
        <v xml:space="preserve">readingList = </v>
      </c>
      <c r="D740" t="str">
        <v>ReadingList</v>
      </c>
      <c r="E740" t="str">
        <v/>
      </c>
      <c r="F740" t="e" cm="1" vm="374">
        <f t="array" ref="F740">IF(D740="","",_xldudf_A_ENTICON(D740))</f>
        <v>#VALUE!</v>
      </c>
      <c r="H740" t="e" vm="194">
        <v>#VALUE!</v>
      </c>
    </row>
    <row r="741" spans="2:8" x14ac:dyDescent="0.25">
      <c r="B741" s="3"/>
      <c r="C741" t="e" cm="1">
        <f t="array" ref="C741">_xlfn.TEXTSPLIT(B741, """")</f>
        <v>#VALUE!</v>
      </c>
      <c r="F741" t="str" cm="1">
        <f t="array" ref="F741">IF(D741="","",_xldudf_A_ENTICON(D741))</f>
        <v/>
      </c>
      <c r="H741" t="e" vm="195">
        <v>#VALUE!</v>
      </c>
    </row>
    <row r="742" spans="2:8" x14ac:dyDescent="0.25">
      <c r="B742" s="3" t="s">
        <v>384</v>
      </c>
      <c r="C742" t="str" cm="1">
        <f t="array" ref="C742:E742">_xlfn.TEXTSPLIT(B742, """")</f>
        <v xml:space="preserve">realEstate = </v>
      </c>
      <c r="D742" t="str">
        <v>RealEstate</v>
      </c>
      <c r="E742" t="str">
        <v/>
      </c>
      <c r="F742" t="e" cm="1" vm="375">
        <f t="array" ref="F742">IF(D742="","",_xldudf_A_ENTICON(D742))</f>
        <v>#VALUE!</v>
      </c>
      <c r="H742" t="e" vm="196">
        <v>#VALUE!</v>
      </c>
    </row>
    <row r="743" spans="2:8" x14ac:dyDescent="0.25">
      <c r="B743" s="3"/>
      <c r="C743" t="e" cm="1">
        <f t="array" ref="C743">_xlfn.TEXTSPLIT(B743, """")</f>
        <v>#VALUE!</v>
      </c>
      <c r="F743" t="str" cm="1">
        <f t="array" ref="F743">IF(D743="","",_xldudf_A_ENTICON(D743))</f>
        <v/>
      </c>
      <c r="H743" t="e" vm="197">
        <v>#VALUE!</v>
      </c>
    </row>
    <row r="744" spans="2:8" x14ac:dyDescent="0.25">
      <c r="B744" s="3" t="s">
        <v>385</v>
      </c>
      <c r="C744" t="str" cm="1">
        <f t="array" ref="C744:E744">_xlfn.TEXTSPLIT(B744, """")</f>
        <v xml:space="preserve">receipt = </v>
      </c>
      <c r="D744" t="str">
        <v>Receipt</v>
      </c>
      <c r="E744" t="str">
        <v/>
      </c>
      <c r="F744" t="e" cm="1" vm="376">
        <f t="array" ref="F744">IF(D744="","",_xldudf_A_ENTICON(D744))</f>
        <v>#VALUE!</v>
      </c>
      <c r="H744" t="e" vm="198">
        <v>#VALUE!</v>
      </c>
    </row>
    <row r="745" spans="2:8" x14ac:dyDescent="0.25">
      <c r="B745" s="3"/>
      <c r="C745" t="e" cm="1">
        <f t="array" ref="C745">_xlfn.TEXTSPLIT(B745, """")</f>
        <v>#VALUE!</v>
      </c>
      <c r="F745" t="str" cm="1">
        <f t="array" ref="F745">IF(D745="","",_xldudf_A_ENTICON(D745))</f>
        <v/>
      </c>
      <c r="H745" t="e" vm="199">
        <v>#VALUE!</v>
      </c>
    </row>
    <row r="746" spans="2:8" x14ac:dyDescent="0.25">
      <c r="B746" s="3" t="s">
        <v>386</v>
      </c>
      <c r="C746" t="str" cm="1">
        <f t="array" ref="C746:E746">_xlfn.TEXTSPLIT(B746, """")</f>
        <v xml:space="preserve">reward = </v>
      </c>
      <c r="D746" t="str">
        <v>Reward</v>
      </c>
      <c r="E746" t="str">
        <v/>
      </c>
      <c r="F746" t="e" cm="1" vm="377">
        <f t="array" ref="F746">IF(D746="","",_xldudf_A_ENTICON(D746))</f>
        <v>#VALUE!</v>
      </c>
      <c r="H746" t="e" vm="200">
        <v>#VALUE!</v>
      </c>
    </row>
    <row r="747" spans="2:8" x14ac:dyDescent="0.25">
      <c r="B747" s="3"/>
      <c r="C747" t="e" cm="1">
        <f t="array" ref="C747">_xlfn.TEXTSPLIT(B747, """")</f>
        <v>#VALUE!</v>
      </c>
      <c r="F747" t="str" cm="1">
        <f t="array" ref="F747">IF(D747="","",_xldudf_A_ENTICON(D747))</f>
        <v/>
      </c>
      <c r="H747" t="e" vm="201">
        <v>#VALUE!</v>
      </c>
    </row>
    <row r="748" spans="2:8" x14ac:dyDescent="0.25">
      <c r="B748" s="3" t="s">
        <v>387</v>
      </c>
      <c r="C748" t="str" cm="1">
        <f t="array" ref="C748:E748">_xlfn.TEXTSPLIT(B748, """")</f>
        <v xml:space="preserve">rhombus = </v>
      </c>
      <c r="D748" t="str">
        <v>Rhombus</v>
      </c>
      <c r="E748" t="str">
        <v/>
      </c>
      <c r="F748" t="e" cm="1" vm="378">
        <f t="array" ref="F748">IF(D748="","",_xldudf_A_ENTICON(D748))</f>
        <v>#VALUE!</v>
      </c>
      <c r="H748" t="e" vm="202">
        <v>#VALUE!</v>
      </c>
    </row>
    <row r="749" spans="2:8" x14ac:dyDescent="0.25">
      <c r="B749" s="3"/>
      <c r="C749" t="e" cm="1">
        <f t="array" ref="C749">_xlfn.TEXTSPLIT(B749, """")</f>
        <v>#VALUE!</v>
      </c>
      <c r="F749" t="str" cm="1">
        <f t="array" ref="F749">IF(D749="","",_xldudf_A_ENTICON(D749))</f>
        <v/>
      </c>
      <c r="H749" t="e" vm="203">
        <v>#VALUE!</v>
      </c>
    </row>
    <row r="750" spans="2:8" x14ac:dyDescent="0.25">
      <c r="B750" s="3" t="s">
        <v>388</v>
      </c>
      <c r="C750" t="str" cm="1">
        <f t="array" ref="C750:E750">_xlfn.TEXTSPLIT(B750, """")</f>
        <v xml:space="preserve">ribbon = </v>
      </c>
      <c r="D750" t="str">
        <v>Ribbon</v>
      </c>
      <c r="E750" t="str">
        <v/>
      </c>
      <c r="F750" t="e" cm="1" vm="379">
        <f t="array" ref="F750">IF(D750="","",_xldudf_A_ENTICON(D750))</f>
        <v>#VALUE!</v>
      </c>
      <c r="H750" t="e" vm="204">
        <v>#VALUE!</v>
      </c>
    </row>
    <row r="751" spans="2:8" x14ac:dyDescent="0.25">
      <c r="B751" s="3"/>
      <c r="C751" t="e" cm="1">
        <f t="array" ref="C751">_xlfn.TEXTSPLIT(B751, """")</f>
        <v>#VALUE!</v>
      </c>
      <c r="F751" t="str" cm="1">
        <f t="array" ref="F751">IF(D751="","",_xldudf_A_ENTICON(D751))</f>
        <v/>
      </c>
      <c r="H751" t="e" vm="205">
        <v>#VALUE!</v>
      </c>
    </row>
    <row r="752" spans="2:8" x14ac:dyDescent="0.25">
      <c r="B752" s="3" t="s">
        <v>389</v>
      </c>
      <c r="C752" t="str" cm="1">
        <f t="array" ref="C752:E752">_xlfn.TEXTSPLIT(B752, """")</f>
        <v xml:space="preserve">ribbonStar = </v>
      </c>
      <c r="D752" t="str">
        <v>RibbonStar</v>
      </c>
      <c r="E752" t="str">
        <v/>
      </c>
      <c r="F752" t="e" cm="1" vm="380">
        <f t="array" ref="F752">IF(D752="","",_xldudf_A_ENTICON(D752))</f>
        <v>#VALUE!</v>
      </c>
      <c r="H752" t="e" vm="206">
        <v>#VALUE!</v>
      </c>
    </row>
    <row r="753" spans="2:8" x14ac:dyDescent="0.25">
      <c r="B753" s="3"/>
      <c r="C753" t="e" cm="1">
        <f t="array" ref="C753">_xlfn.TEXTSPLIT(B753, """")</f>
        <v>#VALUE!</v>
      </c>
      <c r="F753" t="str" cm="1">
        <f t="array" ref="F753">IF(D753="","",_xldudf_A_ENTICON(D753))</f>
        <v/>
      </c>
      <c r="H753" t="e" vm="207">
        <v>#VALUE!</v>
      </c>
    </row>
    <row r="754" spans="2:8" x14ac:dyDescent="0.25">
      <c r="B754" s="3" t="s">
        <v>390</v>
      </c>
      <c r="C754" t="str" cm="1">
        <f t="array" ref="C754:E754">_xlfn.TEXTSPLIT(B754, """")</f>
        <v xml:space="preserve">roadCone = </v>
      </c>
      <c r="D754" t="str">
        <v>RoadCone</v>
      </c>
      <c r="E754" t="str">
        <v/>
      </c>
      <c r="F754" t="e" cm="1" vm="381">
        <f t="array" ref="F754">IF(D754="","",_xldudf_A_ENTICON(D754))</f>
        <v>#VALUE!</v>
      </c>
      <c r="H754" t="e" vm="208">
        <v>#VALUE!</v>
      </c>
    </row>
    <row r="755" spans="2:8" x14ac:dyDescent="0.25">
      <c r="B755" s="3"/>
      <c r="C755" t="e" cm="1">
        <f t="array" ref="C755">_xlfn.TEXTSPLIT(B755, """")</f>
        <v>#VALUE!</v>
      </c>
      <c r="F755" t="str" cm="1">
        <f t="array" ref="F755">IF(D755="","",_xldudf_A_ENTICON(D755))</f>
        <v/>
      </c>
      <c r="H755" t="e" vm="209">
        <v>#VALUE!</v>
      </c>
    </row>
    <row r="756" spans="2:8" x14ac:dyDescent="0.25">
      <c r="B756" s="3" t="s">
        <v>391</v>
      </c>
      <c r="C756" t="str" cm="1">
        <f t="array" ref="C756:E756">_xlfn.TEXTSPLIT(B756, """")</f>
        <v xml:space="preserve">rocket = </v>
      </c>
      <c r="D756" t="str">
        <v>Rocket</v>
      </c>
      <c r="E756" t="str">
        <v/>
      </c>
      <c r="F756" t="e" cm="1" vm="382">
        <f t="array" ref="F756">IF(D756="","",_xldudf_A_ENTICON(D756))</f>
        <v>#VALUE!</v>
      </c>
      <c r="H756" t="e" vm="210">
        <v>#VALUE!</v>
      </c>
    </row>
    <row r="757" spans="2:8" x14ac:dyDescent="0.25">
      <c r="B757" s="3"/>
      <c r="C757" t="e" cm="1">
        <f t="array" ref="C757">_xlfn.TEXTSPLIT(B757, """")</f>
        <v>#VALUE!</v>
      </c>
      <c r="F757" t="str" cm="1">
        <f t="array" ref="F757">IF(D757="","",_xldudf_A_ENTICON(D757))</f>
        <v/>
      </c>
      <c r="H757" t="e" vm="211">
        <v>#VALUE!</v>
      </c>
    </row>
    <row r="758" spans="2:8" x14ac:dyDescent="0.25">
      <c r="B758" s="3" t="s">
        <v>392</v>
      </c>
      <c r="C758" t="str" cm="1">
        <f t="array" ref="C758:E758">_xlfn.TEXTSPLIT(B758, """")</f>
        <v xml:space="preserve">router = </v>
      </c>
      <c r="D758" t="str">
        <v>Router</v>
      </c>
      <c r="E758" t="str">
        <v/>
      </c>
      <c r="F758" t="e" cm="1" vm="383">
        <f t="array" ref="F758">IF(D758="","",_xldudf_A_ENTICON(D758))</f>
        <v>#VALUE!</v>
      </c>
      <c r="H758" t="e" vm="212">
        <v>#VALUE!</v>
      </c>
    </row>
    <row r="759" spans="2:8" x14ac:dyDescent="0.25">
      <c r="B759" s="3"/>
      <c r="C759" t="e" cm="1">
        <f t="array" ref="C759">_xlfn.TEXTSPLIT(B759, """")</f>
        <v>#VALUE!</v>
      </c>
      <c r="F759" t="str" cm="1">
        <f t="array" ref="F759">IF(D759="","",_xldudf_A_ENTICON(D759))</f>
        <v/>
      </c>
      <c r="H759" t="e" vm="213">
        <v>#VALUE!</v>
      </c>
    </row>
    <row r="760" spans="2:8" x14ac:dyDescent="0.25">
      <c r="B760" s="3" t="s">
        <v>393</v>
      </c>
      <c r="C760" t="str" cm="1">
        <f t="array" ref="C760:E760">_xlfn.TEXTSPLIT(B760, """")</f>
        <v xml:space="preserve">rss = </v>
      </c>
      <c r="D760" t="str">
        <v>Rss</v>
      </c>
      <c r="E760" t="str">
        <v/>
      </c>
      <c r="F760" t="e" cm="1" vm="384">
        <f t="array" ref="F760">IF(D760="","",_xldudf_A_ENTICON(D760))</f>
        <v>#VALUE!</v>
      </c>
      <c r="H760" t="e" vm="214">
        <v>#VALUE!</v>
      </c>
    </row>
    <row r="761" spans="2:8" x14ac:dyDescent="0.25">
      <c r="B761" s="3"/>
      <c r="C761" t="e" cm="1">
        <f t="array" ref="C761">_xlfn.TEXTSPLIT(B761, """")</f>
        <v>#VALUE!</v>
      </c>
      <c r="F761" t="str" cm="1">
        <f t="array" ref="F761">IF(D761="","",_xldudf_A_ENTICON(D761))</f>
        <v/>
      </c>
      <c r="H761" t="e" vm="215">
        <v>#VALUE!</v>
      </c>
    </row>
    <row r="762" spans="2:8" x14ac:dyDescent="0.25">
      <c r="B762" s="3" t="s">
        <v>394</v>
      </c>
      <c r="C762" t="str" cm="1">
        <f t="array" ref="C762:E762">_xlfn.TEXTSPLIT(B762, """")</f>
        <v xml:space="preserve">ruler = </v>
      </c>
      <c r="D762" t="str">
        <v>Ruler</v>
      </c>
      <c r="E762" t="str">
        <v/>
      </c>
      <c r="F762" t="e" cm="1" vm="385">
        <f t="array" ref="F762">IF(D762="","",_xldudf_A_ENTICON(D762))</f>
        <v>#VALUE!</v>
      </c>
      <c r="H762" t="e" vm="216">
        <v>#VALUE!</v>
      </c>
    </row>
    <row r="763" spans="2:8" x14ac:dyDescent="0.25">
      <c r="B763" s="3"/>
      <c r="C763" t="e" cm="1">
        <f t="array" ref="C763">_xlfn.TEXTSPLIT(B763, """")</f>
        <v>#VALUE!</v>
      </c>
      <c r="F763" t="str" cm="1">
        <f t="array" ref="F763">IF(D763="","",_xldudf_A_ENTICON(D763))</f>
        <v/>
      </c>
      <c r="H763" t="e" vm="217">
        <v>#VALUE!</v>
      </c>
    </row>
    <row r="764" spans="2:8" x14ac:dyDescent="0.25">
      <c r="B764" s="3" t="s">
        <v>395</v>
      </c>
      <c r="C764" t="str" cm="1">
        <f t="array" ref="C764:E764">_xlfn.TEXTSPLIT(B764, """")</f>
        <v xml:space="preserve">run = </v>
      </c>
      <c r="D764" t="str">
        <v>Run</v>
      </c>
      <c r="E764" t="str">
        <v/>
      </c>
      <c r="F764" t="e" cm="1" vm="386">
        <f t="array" ref="F764">IF(D764="","",_xldudf_A_ENTICON(D764))</f>
        <v>#VALUE!</v>
      </c>
      <c r="H764" t="e" vm="218">
        <v>#VALUE!</v>
      </c>
    </row>
    <row r="765" spans="2:8" x14ac:dyDescent="0.25">
      <c r="B765" s="3"/>
      <c r="C765" t="e" cm="1">
        <f t="array" ref="C765">_xlfn.TEXTSPLIT(B765, """")</f>
        <v>#VALUE!</v>
      </c>
      <c r="F765" t="str" cm="1">
        <f t="array" ref="F765">IF(D765="","",_xldudf_A_ENTICON(D765))</f>
        <v/>
      </c>
      <c r="H765" t="e" vm="219">
        <v>#VALUE!</v>
      </c>
    </row>
    <row r="766" spans="2:8" x14ac:dyDescent="0.25">
      <c r="B766" s="3" t="s">
        <v>396</v>
      </c>
      <c r="C766" t="str" cm="1">
        <f t="array" ref="C766:E766">_xlfn.TEXTSPLIT(B766, """")</f>
        <v xml:space="preserve">running = </v>
      </c>
      <c r="D766" t="str">
        <v>Running</v>
      </c>
      <c r="E766" t="str">
        <v/>
      </c>
      <c r="F766" t="e" cm="1" vm="387">
        <f t="array" ref="F766">IF(D766="","",_xldudf_A_ENTICON(D766))</f>
        <v>#VALUE!</v>
      </c>
      <c r="H766" t="e" vm="220">
        <v>#VALUE!</v>
      </c>
    </row>
    <row r="767" spans="2:8" x14ac:dyDescent="0.25">
      <c r="B767" s="3"/>
      <c r="C767" t="e" cm="1">
        <f t="array" ref="C767">_xlfn.TEXTSPLIT(B767, """")</f>
        <v>#VALUE!</v>
      </c>
      <c r="F767" t="str" cm="1">
        <f t="array" ref="F767">IF(D767="","",_xldudf_A_ENTICON(D767))</f>
        <v/>
      </c>
      <c r="H767" t="e" vm="221">
        <v>#VALUE!</v>
      </c>
    </row>
    <row r="768" spans="2:8" x14ac:dyDescent="0.25">
      <c r="B768" s="3" t="s">
        <v>397</v>
      </c>
      <c r="C768" t="str" cm="1">
        <f t="array" ref="C768:E768">_xlfn.TEXTSPLIT(B768, """")</f>
        <v xml:space="preserve">satellite = </v>
      </c>
      <c r="D768" t="str">
        <v>Satellite</v>
      </c>
      <c r="E768" t="str">
        <v/>
      </c>
      <c r="F768" t="e" cm="1" vm="388">
        <f t="array" ref="F768">IF(D768="","",_xldudf_A_ENTICON(D768))</f>
        <v>#VALUE!</v>
      </c>
      <c r="H768" t="e" vm="222">
        <v>#VALUE!</v>
      </c>
    </row>
    <row r="769" spans="2:8" x14ac:dyDescent="0.25">
      <c r="B769" s="3"/>
      <c r="C769" t="e" cm="1">
        <f t="array" ref="C769">_xlfn.TEXTSPLIT(B769, """")</f>
        <v>#VALUE!</v>
      </c>
      <c r="F769" t="str" cm="1">
        <f t="array" ref="F769">IF(D769="","",_xldudf_A_ENTICON(D769))</f>
        <v/>
      </c>
      <c r="H769" t="e" vm="223">
        <v>#VALUE!</v>
      </c>
    </row>
    <row r="770" spans="2:8" x14ac:dyDescent="0.25">
      <c r="B770" s="3" t="s">
        <v>398</v>
      </c>
      <c r="C770" t="str" cm="1">
        <f t="array" ref="C770:E770">_xlfn.TEXTSPLIT(B770, """")</f>
        <v xml:space="preserve">save = </v>
      </c>
      <c r="D770" t="str">
        <v>Save</v>
      </c>
      <c r="E770" t="str">
        <v/>
      </c>
      <c r="F770" t="e" cm="1" vm="389">
        <f t="array" ref="F770">IF(D770="","",_xldudf_A_ENTICON(D770))</f>
        <v>#VALUE!</v>
      </c>
      <c r="H770" t="e" vm="224">
        <v>#VALUE!</v>
      </c>
    </row>
    <row r="771" spans="2:8" x14ac:dyDescent="0.25">
      <c r="B771" s="3"/>
      <c r="C771" t="e" cm="1">
        <f t="array" ref="C771">_xlfn.TEXTSPLIT(B771, """")</f>
        <v>#VALUE!</v>
      </c>
      <c r="F771" t="str" cm="1">
        <f t="array" ref="F771">IF(D771="","",_xldudf_A_ENTICON(D771))</f>
        <v/>
      </c>
      <c r="H771" t="e" vm="225">
        <v>#VALUE!</v>
      </c>
    </row>
    <row r="772" spans="2:8" x14ac:dyDescent="0.25">
      <c r="B772" s="3" t="s">
        <v>399</v>
      </c>
      <c r="C772" t="str" cm="1">
        <f t="array" ref="C772:E772">_xlfn.TEXTSPLIT(B772, """")</f>
        <v xml:space="preserve">savings = </v>
      </c>
      <c r="D772" t="str">
        <v>Savings</v>
      </c>
      <c r="E772" t="str">
        <v/>
      </c>
      <c r="F772" t="e" cm="1" vm="390">
        <f t="array" ref="F772">IF(D772="","",_xldudf_A_ENTICON(D772))</f>
        <v>#VALUE!</v>
      </c>
      <c r="H772" t="e" vm="226">
        <v>#VALUE!</v>
      </c>
    </row>
    <row r="773" spans="2:8" x14ac:dyDescent="0.25">
      <c r="B773" s="3"/>
      <c r="C773" t="e" cm="1">
        <f t="array" ref="C773">_xlfn.TEXTSPLIT(B773, """")</f>
        <v>#VALUE!</v>
      </c>
      <c r="F773" t="str" cm="1">
        <f t="array" ref="F773">IF(D773="","",_xldudf_A_ENTICON(D773))</f>
        <v/>
      </c>
      <c r="H773" t="e" vm="227">
        <v>#VALUE!</v>
      </c>
    </row>
    <row r="774" spans="2:8" x14ac:dyDescent="0.25">
      <c r="B774" s="3" t="s">
        <v>400</v>
      </c>
      <c r="C774" t="str" cm="1">
        <f t="array" ref="C774:E774">_xlfn.TEXTSPLIT(B774, """")</f>
        <v xml:space="preserve">scales = </v>
      </c>
      <c r="D774" t="str">
        <v>Scales</v>
      </c>
      <c r="E774" t="str">
        <v/>
      </c>
      <c r="F774" t="e" cm="1" vm="391">
        <f t="array" ref="F774">IF(D774="","",_xldudf_A_ENTICON(D774))</f>
        <v>#VALUE!</v>
      </c>
      <c r="H774" t="e" vm="228">
        <v>#VALUE!</v>
      </c>
    </row>
    <row r="775" spans="2:8" x14ac:dyDescent="0.25">
      <c r="B775" s="3"/>
      <c r="C775" t="e" cm="1">
        <f t="array" ref="C775">_xlfn.TEXTSPLIT(B775, """")</f>
        <v>#VALUE!</v>
      </c>
      <c r="F775" t="str" cm="1">
        <f t="array" ref="F775">IF(D775="","",_xldudf_A_ENTICON(D775))</f>
        <v/>
      </c>
      <c r="H775" t="e" vm="229">
        <v>#VALUE!</v>
      </c>
    </row>
    <row r="776" spans="2:8" x14ac:dyDescent="0.25">
      <c r="B776" s="3" t="s">
        <v>401</v>
      </c>
      <c r="C776" t="str" cm="1">
        <f t="array" ref="C776:E776">_xlfn.TEXTSPLIT(B776, """")</f>
        <v xml:space="preserve">scan = </v>
      </c>
      <c r="D776" t="str">
        <v>Scan</v>
      </c>
      <c r="E776" t="str">
        <v/>
      </c>
      <c r="F776" t="e" cm="1" vm="392">
        <f t="array" ref="F776">IF(D776="","",_xldudf_A_ENTICON(D776))</f>
        <v>#VALUE!</v>
      </c>
      <c r="H776" t="e" vm="230">
        <v>#VALUE!</v>
      </c>
    </row>
    <row r="777" spans="2:8" x14ac:dyDescent="0.25">
      <c r="B777" s="3"/>
      <c r="C777" t="e" cm="1">
        <f t="array" ref="C777">_xlfn.TEXTSPLIT(B777, """")</f>
        <v>#VALUE!</v>
      </c>
      <c r="F777" t="str" cm="1">
        <f t="array" ref="F777">IF(D777="","",_xldudf_A_ENTICON(D777))</f>
        <v/>
      </c>
      <c r="H777" t="e" vm="231">
        <v>#VALUE!</v>
      </c>
    </row>
    <row r="778" spans="2:8" x14ac:dyDescent="0.25">
      <c r="B778" s="3" t="s">
        <v>402</v>
      </c>
      <c r="C778" t="str" cm="1">
        <f t="array" ref="C778:E778">_xlfn.TEXTSPLIT(B778, """")</f>
        <v xml:space="preserve">scratchpad = </v>
      </c>
      <c r="D778" t="str">
        <v>Scratchpad</v>
      </c>
      <c r="E778" t="str">
        <v/>
      </c>
      <c r="F778" t="e" cm="1" vm="393">
        <f t="array" ref="F778">IF(D778="","",_xldudf_A_ENTICON(D778))</f>
        <v>#VALUE!</v>
      </c>
      <c r="H778" t="e" vm="232">
        <v>#VALUE!</v>
      </c>
    </row>
    <row r="779" spans="2:8" x14ac:dyDescent="0.25">
      <c r="B779" s="3"/>
      <c r="C779" t="e" cm="1">
        <f t="array" ref="C779">_xlfn.TEXTSPLIT(B779, """")</f>
        <v>#VALUE!</v>
      </c>
      <c r="F779" t="str" cm="1">
        <f t="array" ref="F779">IF(D779="","",_xldudf_A_ENTICON(D779))</f>
        <v/>
      </c>
      <c r="H779" t="e" vm="233">
        <v>#VALUE!</v>
      </c>
    </row>
    <row r="780" spans="2:8" x14ac:dyDescent="0.25">
      <c r="B780" s="3" t="s">
        <v>403</v>
      </c>
      <c r="C780" t="str" cm="1">
        <f t="array" ref="C780:E780">_xlfn.TEXTSPLIT(B780, """")</f>
        <v xml:space="preserve">screenPerson = </v>
      </c>
      <c r="D780" t="str">
        <v>ScreenPerson</v>
      </c>
      <c r="E780" t="str">
        <v/>
      </c>
      <c r="F780" t="e" cm="1" vm="394">
        <f t="array" ref="F780">IF(D780="","",_xldudf_A_ENTICON(D780))</f>
        <v>#VALUE!</v>
      </c>
      <c r="H780" t="e" vm="234">
        <v>#VALUE!</v>
      </c>
    </row>
    <row r="781" spans="2:8" x14ac:dyDescent="0.25">
      <c r="B781" s="3"/>
      <c r="C781" t="e" cm="1">
        <f t="array" ref="C781">_xlfn.TEXTSPLIT(B781, """")</f>
        <v>#VALUE!</v>
      </c>
      <c r="F781" t="str" cm="1">
        <f t="array" ref="F781">IF(D781="","",_xldudf_A_ENTICON(D781))</f>
        <v/>
      </c>
      <c r="H781" t="e" vm="235">
        <v>#VALUE!</v>
      </c>
    </row>
    <row r="782" spans="2:8" x14ac:dyDescent="0.25">
      <c r="B782" s="3" t="s">
        <v>404</v>
      </c>
      <c r="C782" t="str" cm="1">
        <f t="array" ref="C782:E782">_xlfn.TEXTSPLIT(B782, """")</f>
        <v xml:space="preserve">screenshot = </v>
      </c>
      <c r="D782" t="str">
        <v>Screenshot</v>
      </c>
      <c r="E782" t="str">
        <v/>
      </c>
      <c r="F782" t="e" cm="1" vm="395">
        <f t="array" ref="F782">IF(D782="","",_xldudf_A_ENTICON(D782))</f>
        <v>#VALUE!</v>
      </c>
      <c r="H782" t="e" vm="236">
        <v>#VALUE!</v>
      </c>
    </row>
    <row r="783" spans="2:8" x14ac:dyDescent="0.25">
      <c r="B783" s="3"/>
      <c r="C783" t="e" cm="1">
        <f t="array" ref="C783">_xlfn.TEXTSPLIT(B783, """")</f>
        <v>#VALUE!</v>
      </c>
      <c r="F783" t="str" cm="1">
        <f t="array" ref="F783">IF(D783="","",_xldudf_A_ENTICON(D783))</f>
        <v/>
      </c>
      <c r="H783" t="e" vm="237">
        <v>#VALUE!</v>
      </c>
    </row>
    <row r="784" spans="2:8" x14ac:dyDescent="0.25">
      <c r="B784" s="3" t="s">
        <v>405</v>
      </c>
      <c r="C784" t="str" cm="1">
        <f t="array" ref="C784:E784">_xlfn.TEXTSPLIT(B784, """")</f>
        <v xml:space="preserve">search = </v>
      </c>
      <c r="D784" t="str">
        <v>Search</v>
      </c>
      <c r="E784" t="str">
        <v/>
      </c>
      <c r="F784" t="e" cm="1" vm="396">
        <f t="array" ref="F784">IF(D784="","",_xldudf_A_ENTICON(D784))</f>
        <v>#VALUE!</v>
      </c>
      <c r="H784" t="e" vm="238">
        <v>#VALUE!</v>
      </c>
    </row>
    <row r="785" spans="2:8" x14ac:dyDescent="0.25">
      <c r="B785" s="3"/>
      <c r="C785" t="e" cm="1">
        <f t="array" ref="C785">_xlfn.TEXTSPLIT(B785, """")</f>
        <v>#VALUE!</v>
      </c>
      <c r="F785" t="str" cm="1">
        <f t="array" ref="F785">IF(D785="","",_xldudf_A_ENTICON(D785))</f>
        <v/>
      </c>
      <c r="H785" t="e" vm="239">
        <v>#VALUE!</v>
      </c>
    </row>
    <row r="786" spans="2:8" x14ac:dyDescent="0.25">
      <c r="B786" s="3" t="s">
        <v>406</v>
      </c>
      <c r="C786" t="str" cm="1">
        <f t="array" ref="C786:E786">_xlfn.TEXTSPLIT(B786, """")</f>
        <v xml:space="preserve">serialPort = </v>
      </c>
      <c r="D786" t="str">
        <v>SerialPort</v>
      </c>
      <c r="E786" t="str">
        <v/>
      </c>
      <c r="F786" t="e" cm="1" vm="397">
        <f t="array" ref="F786">IF(D786="","",_xldudf_A_ENTICON(D786))</f>
        <v>#VALUE!</v>
      </c>
      <c r="H786" t="e" vm="240">
        <v>#VALUE!</v>
      </c>
    </row>
    <row r="787" spans="2:8" x14ac:dyDescent="0.25">
      <c r="B787" s="3"/>
      <c r="C787" t="e" cm="1">
        <f t="array" ref="C787">_xlfn.TEXTSPLIT(B787, """")</f>
        <v>#VALUE!</v>
      </c>
      <c r="F787" t="str" cm="1">
        <f t="array" ref="F787">IF(D787="","",_xldudf_A_ENTICON(D787))</f>
        <v/>
      </c>
      <c r="H787" t="e" vm="241">
        <v>#VALUE!</v>
      </c>
    </row>
    <row r="788" spans="2:8" x14ac:dyDescent="0.25">
      <c r="B788" s="3" t="s">
        <v>407</v>
      </c>
      <c r="C788" t="str" cm="1">
        <f t="array" ref="C788:E788">_xlfn.TEXTSPLIT(B788, """")</f>
        <v xml:space="preserve">server = </v>
      </c>
      <c r="D788" t="str">
        <v>Server</v>
      </c>
      <c r="E788" t="str">
        <v/>
      </c>
      <c r="F788" t="e" cm="1" vm="398">
        <f t="array" ref="F788">IF(D788="","",_xldudf_A_ENTICON(D788))</f>
        <v>#VALUE!</v>
      </c>
      <c r="H788" t="e" vm="242">
        <v>#VALUE!</v>
      </c>
    </row>
    <row r="789" spans="2:8" x14ac:dyDescent="0.25">
      <c r="B789" s="3"/>
      <c r="C789" t="e" cm="1">
        <f t="array" ref="C789">_xlfn.TEXTSPLIT(B789, """")</f>
        <v>#VALUE!</v>
      </c>
      <c r="F789" t="str" cm="1">
        <f t="array" ref="F789">IF(D789="","",_xldudf_A_ENTICON(D789))</f>
        <v/>
      </c>
      <c r="H789" t="e" vm="243">
        <v>#VALUE!</v>
      </c>
    </row>
    <row r="790" spans="2:8" x14ac:dyDescent="0.25">
      <c r="B790" s="3" t="s">
        <v>408</v>
      </c>
      <c r="C790" t="str" cm="1">
        <f t="array" ref="C790:E790">_xlfn.TEXTSPLIT(B790, """")</f>
        <v xml:space="preserve">serverMultiple = </v>
      </c>
      <c r="D790" t="str">
        <v>ServerMultiple</v>
      </c>
      <c r="E790" t="str">
        <v/>
      </c>
      <c r="F790" t="e" cm="1" vm="399">
        <f t="array" ref="F790">IF(D790="","",_xldudf_A_ENTICON(D790))</f>
        <v>#VALUE!</v>
      </c>
      <c r="H790" t="e" vm="244">
        <v>#VALUE!</v>
      </c>
    </row>
    <row r="791" spans="2:8" x14ac:dyDescent="0.25">
      <c r="B791" s="3"/>
      <c r="C791" t="e" cm="1">
        <f t="array" ref="C791">_xlfn.TEXTSPLIT(B791, """")</f>
        <v>#VALUE!</v>
      </c>
      <c r="F791" t="str" cm="1">
        <f t="array" ref="F791">IF(D791="","",_xldudf_A_ENTICON(D791))</f>
        <v/>
      </c>
      <c r="H791" t="e" vm="245">
        <v>#VALUE!</v>
      </c>
    </row>
    <row r="792" spans="2:8" x14ac:dyDescent="0.25">
      <c r="B792" s="3" t="s">
        <v>409</v>
      </c>
      <c r="C792" t="str" cm="1">
        <f t="array" ref="C792:E792">_xlfn.TEXTSPLIT(B792, """")</f>
        <v xml:space="preserve">serviceBell = </v>
      </c>
      <c r="D792" t="str">
        <v>ServiceBell</v>
      </c>
      <c r="E792" t="str">
        <v/>
      </c>
      <c r="F792" t="e" cm="1" vm="400">
        <f t="array" ref="F792">IF(D792="","",_xldudf_A_ENTICON(D792))</f>
        <v>#VALUE!</v>
      </c>
      <c r="H792" t="e" vm="246">
        <v>#VALUE!</v>
      </c>
    </row>
    <row r="793" spans="2:8" x14ac:dyDescent="0.25">
      <c r="B793" s="3"/>
      <c r="C793" t="e" cm="1">
        <f t="array" ref="C793">_xlfn.TEXTSPLIT(B793, """")</f>
        <v>#VALUE!</v>
      </c>
      <c r="F793" t="str" cm="1">
        <f t="array" ref="F793">IF(D793="","",_xldudf_A_ENTICON(D793))</f>
        <v/>
      </c>
      <c r="H793" t="e" vm="247">
        <v>#VALUE!</v>
      </c>
    </row>
    <row r="794" spans="2:8" x14ac:dyDescent="0.25">
      <c r="B794" s="3" t="s">
        <v>410</v>
      </c>
      <c r="C794" t="str" cm="1">
        <f t="array" ref="C794:E794">_xlfn.TEXTSPLIT(B794, """")</f>
        <v xml:space="preserve">settings = </v>
      </c>
      <c r="D794" t="str">
        <v>Settings</v>
      </c>
      <c r="E794" t="str">
        <v/>
      </c>
      <c r="F794" t="e" cm="1" vm="401">
        <f t="array" ref="F794">IF(D794="","",_xldudf_A_ENTICON(D794))</f>
        <v>#VALUE!</v>
      </c>
      <c r="H794" t="e" vm="248">
        <v>#VALUE!</v>
      </c>
    </row>
    <row r="795" spans="2:8" x14ac:dyDescent="0.25">
      <c r="B795" s="3"/>
      <c r="C795" t="e" cm="1">
        <f t="array" ref="C795">_xlfn.TEXTSPLIT(B795, """")</f>
        <v>#VALUE!</v>
      </c>
      <c r="F795" t="str" cm="1">
        <f t="array" ref="F795">IF(D795="","",_xldudf_A_ENTICON(D795))</f>
        <v/>
      </c>
      <c r="H795" t="e" vm="249">
        <v>#VALUE!</v>
      </c>
    </row>
    <row r="796" spans="2:8" x14ac:dyDescent="0.25">
      <c r="B796" s="3" t="s">
        <v>411</v>
      </c>
      <c r="C796" t="str" cm="1">
        <f t="array" ref="C796:E796">_xlfn.TEXTSPLIT(B796, """")</f>
        <v xml:space="preserve">shapes = </v>
      </c>
      <c r="D796" t="str">
        <v>Shapes</v>
      </c>
      <c r="E796" t="str">
        <v/>
      </c>
      <c r="F796" t="e" cm="1" vm="402">
        <f t="array" ref="F796">IF(D796="","",_xldudf_A_ENTICON(D796))</f>
        <v>#VALUE!</v>
      </c>
      <c r="H796" t="e" vm="250">
        <v>#VALUE!</v>
      </c>
    </row>
    <row r="797" spans="2:8" x14ac:dyDescent="0.25">
      <c r="B797" s="3"/>
      <c r="C797" t="e" cm="1">
        <f t="array" ref="C797">_xlfn.TEXTSPLIT(B797, """")</f>
        <v>#VALUE!</v>
      </c>
      <c r="F797" t="str" cm="1">
        <f t="array" ref="F797">IF(D797="","",_xldudf_A_ENTICON(D797))</f>
        <v/>
      </c>
      <c r="H797" t="e" vm="251">
        <v>#VALUE!</v>
      </c>
    </row>
    <row r="798" spans="2:8" x14ac:dyDescent="0.25">
      <c r="B798" s="3" t="s">
        <v>412</v>
      </c>
      <c r="C798" t="str" cm="1">
        <f t="array" ref="C798:E798">_xlfn.TEXTSPLIT(B798, """")</f>
        <v xml:space="preserve">shield = </v>
      </c>
      <c r="D798" t="str">
        <v>Shield</v>
      </c>
      <c r="E798" t="str">
        <v/>
      </c>
      <c r="F798" t="e" cm="1" vm="403">
        <f t="array" ref="F798">IF(D798="","",_xldudf_A_ENTICON(D798))</f>
        <v>#VALUE!</v>
      </c>
      <c r="H798" t="e" vm="252">
        <v>#VALUE!</v>
      </c>
    </row>
    <row r="799" spans="2:8" x14ac:dyDescent="0.25">
      <c r="B799" s="3"/>
      <c r="C799" t="e" cm="1">
        <f t="array" ref="C799">_xlfn.TEXTSPLIT(B799, """")</f>
        <v>#VALUE!</v>
      </c>
      <c r="F799" t="str" cm="1">
        <f t="array" ref="F799">IF(D799="","",_xldudf_A_ENTICON(D799))</f>
        <v/>
      </c>
      <c r="H799" t="e" vm="253">
        <v>#VALUE!</v>
      </c>
    </row>
    <row r="800" spans="2:8" x14ac:dyDescent="0.25">
      <c r="B800" s="3" t="s">
        <v>413</v>
      </c>
      <c r="C800" t="str" cm="1">
        <f t="array" ref="C800:E800">_xlfn.TEXTSPLIT(B800, """")</f>
        <v xml:space="preserve">shieldTask = </v>
      </c>
      <c r="D800" t="str">
        <v>ShieldTask</v>
      </c>
      <c r="E800" t="str">
        <v/>
      </c>
      <c r="F800" t="e" cm="1" vm="404">
        <f t="array" ref="F800">IF(D800="","",_xldudf_A_ENTICON(D800))</f>
        <v>#VALUE!</v>
      </c>
      <c r="H800" t="e" vm="254">
        <v>#VALUE!</v>
      </c>
    </row>
    <row r="801" spans="2:8" x14ac:dyDescent="0.25">
      <c r="B801" s="3"/>
      <c r="C801" t="e" cm="1">
        <f t="array" ref="C801">_xlfn.TEXTSPLIT(B801, """")</f>
        <v>#VALUE!</v>
      </c>
      <c r="F801" t="str" cm="1">
        <f t="array" ref="F801">IF(D801="","",_xldudf_A_ENTICON(D801))</f>
        <v/>
      </c>
      <c r="H801" t="e" vm="255">
        <v>#VALUE!</v>
      </c>
    </row>
    <row r="802" spans="2:8" x14ac:dyDescent="0.25">
      <c r="B802" s="3" t="s">
        <v>414</v>
      </c>
      <c r="C802" t="str" cm="1">
        <f t="array" ref="C802:E802">_xlfn.TEXTSPLIT(B802, """")</f>
        <v xml:space="preserve">shoppingBag = </v>
      </c>
      <c r="D802" t="str">
        <v>ShoppingBag</v>
      </c>
      <c r="E802" t="str">
        <v/>
      </c>
      <c r="F802" t="e" cm="1" vm="405">
        <f t="array" ref="F802">IF(D802="","",_xldudf_A_ENTICON(D802))</f>
        <v>#VALUE!</v>
      </c>
      <c r="H802" t="e" vm="256">
        <v>#VALUE!</v>
      </c>
    </row>
    <row r="803" spans="2:8" x14ac:dyDescent="0.25">
      <c r="B803" s="3"/>
      <c r="C803" t="e" cm="1">
        <f t="array" ref="C803">_xlfn.TEXTSPLIT(B803, """")</f>
        <v>#VALUE!</v>
      </c>
      <c r="F803" t="str" cm="1">
        <f t="array" ref="F803">IF(D803="","",_xldudf_A_ENTICON(D803))</f>
        <v/>
      </c>
      <c r="H803" t="e" vm="257">
        <v>#VALUE!</v>
      </c>
    </row>
    <row r="804" spans="2:8" x14ac:dyDescent="0.25">
      <c r="B804" s="3" t="s">
        <v>415</v>
      </c>
      <c r="C804" t="str" cm="1">
        <f t="array" ref="C804:E804">_xlfn.TEXTSPLIT(B804, """")</f>
        <v xml:space="preserve">signature = </v>
      </c>
      <c r="D804" t="str">
        <v>Signature</v>
      </c>
      <c r="E804" t="str">
        <v/>
      </c>
      <c r="F804" t="e" cm="1" vm="406">
        <f t="array" ref="F804">IF(D804="","",_xldudf_A_ENTICON(D804))</f>
        <v>#VALUE!</v>
      </c>
      <c r="H804" t="e" vm="258">
        <v>#VALUE!</v>
      </c>
    </row>
    <row r="805" spans="2:8" x14ac:dyDescent="0.25">
      <c r="B805" s="3"/>
      <c r="C805" t="e" cm="1">
        <f t="array" ref="C805">_xlfn.TEXTSPLIT(B805, """")</f>
        <v>#VALUE!</v>
      </c>
      <c r="F805" t="str" cm="1">
        <f t="array" ref="F805">IF(D805="","",_xldudf_A_ENTICON(D805))</f>
        <v/>
      </c>
      <c r="H805" t="e" vm="259">
        <v>#VALUE!</v>
      </c>
    </row>
    <row r="806" spans="2:8" x14ac:dyDescent="0.25">
      <c r="B806" s="3" t="s">
        <v>416</v>
      </c>
      <c r="C806" t="str" cm="1">
        <f t="array" ref="C806:E806">_xlfn.TEXTSPLIT(B806, """")</f>
        <v xml:space="preserve">sim = </v>
      </c>
      <c r="D806" t="str">
        <v>Sim</v>
      </c>
      <c r="E806" t="str">
        <v/>
      </c>
      <c r="F806" t="e" cm="1" vm="407">
        <f t="array" ref="F806">IF(D806="","",_xldudf_A_ENTICON(D806))</f>
        <v>#VALUE!</v>
      </c>
      <c r="H806" t="e" vm="260">
        <v>#VALUE!</v>
      </c>
    </row>
    <row r="807" spans="2:8" x14ac:dyDescent="0.25">
      <c r="B807" s="3"/>
      <c r="C807" t="e" cm="1">
        <f t="array" ref="C807">_xlfn.TEXTSPLIT(B807, """")</f>
        <v>#VALUE!</v>
      </c>
      <c r="F807" t="str" cm="1">
        <f t="array" ref="F807">IF(D807="","",_xldudf_A_ENTICON(D807))</f>
        <v/>
      </c>
      <c r="H807" t="e" vm="261">
        <v>#VALUE!</v>
      </c>
    </row>
    <row r="808" spans="2:8" x14ac:dyDescent="0.25">
      <c r="B808" s="3" t="s">
        <v>417</v>
      </c>
      <c r="C808" t="str" cm="1">
        <f t="array" ref="C808:E808">_xlfn.TEXTSPLIT(B808, """")</f>
        <v xml:space="preserve">sleep = </v>
      </c>
      <c r="D808" t="str">
        <v>Sleep</v>
      </c>
      <c r="E808" t="str">
        <v/>
      </c>
      <c r="F808" t="e" cm="1" vm="408">
        <f t="array" ref="F808">IF(D808="","",_xldudf_A_ENTICON(D808))</f>
        <v>#VALUE!</v>
      </c>
      <c r="H808" t="e" vm="262">
        <v>#VALUE!</v>
      </c>
    </row>
    <row r="809" spans="2:8" x14ac:dyDescent="0.25">
      <c r="B809" s="3"/>
      <c r="C809" t="e" cm="1">
        <f t="array" ref="C809">_xlfn.TEXTSPLIT(B809, """")</f>
        <v>#VALUE!</v>
      </c>
      <c r="F809" t="str" cm="1">
        <f t="array" ref="F809">IF(D809="","",_xldudf_A_ENTICON(D809))</f>
        <v/>
      </c>
      <c r="H809" t="e" vm="263">
        <v>#VALUE!</v>
      </c>
    </row>
    <row r="810" spans="2:8" x14ac:dyDescent="0.25">
      <c r="B810" s="3" t="s">
        <v>418</v>
      </c>
      <c r="C810" t="str" cm="1">
        <f t="array" ref="C810:E810">_xlfn.TEXTSPLIT(B810, """")</f>
        <v xml:space="preserve">smartwatch = </v>
      </c>
      <c r="D810" t="str">
        <v>Smartwatch</v>
      </c>
      <c r="E810" t="str">
        <v/>
      </c>
      <c r="F810" t="e" cm="1" vm="409">
        <f t="array" ref="F810">IF(D810="","",_xldudf_A_ENTICON(D810))</f>
        <v>#VALUE!</v>
      </c>
      <c r="H810" t="e" vm="264">
        <v>#VALUE!</v>
      </c>
    </row>
    <row r="811" spans="2:8" x14ac:dyDescent="0.25">
      <c r="B811" s="3"/>
      <c r="C811" t="e" cm="1">
        <f t="array" ref="C811">_xlfn.TEXTSPLIT(B811, """")</f>
        <v>#VALUE!</v>
      </c>
      <c r="F811" t="str" cm="1">
        <f t="array" ref="F811">IF(D811="","",_xldudf_A_ENTICON(D811))</f>
        <v/>
      </c>
      <c r="H811" t="e" vm="265">
        <v>#VALUE!</v>
      </c>
    </row>
    <row r="812" spans="2:8" x14ac:dyDescent="0.25">
      <c r="B812" s="3" t="s">
        <v>419</v>
      </c>
      <c r="C812" t="str" cm="1">
        <f t="array" ref="C812:E812">_xlfn.TEXTSPLIT(B812, """")</f>
        <v xml:space="preserve">soundSource = </v>
      </c>
      <c r="D812" t="str">
        <v>SoundSource</v>
      </c>
      <c r="E812" t="str">
        <v/>
      </c>
      <c r="F812" t="e" cm="1" vm="410">
        <f t="array" ref="F812">IF(D812="","",_xldudf_A_ENTICON(D812))</f>
        <v>#VALUE!</v>
      </c>
      <c r="H812" t="e" vm="266">
        <v>#VALUE!</v>
      </c>
    </row>
    <row r="813" spans="2:8" x14ac:dyDescent="0.25">
      <c r="B813" s="3"/>
      <c r="C813" t="e" cm="1">
        <f t="array" ref="C813">_xlfn.TEXTSPLIT(B813, """")</f>
        <v>#VALUE!</v>
      </c>
      <c r="F813" t="str" cm="1">
        <f t="array" ref="F813">IF(D813="","",_xldudf_A_ENTICON(D813))</f>
        <v/>
      </c>
      <c r="H813" t="e" vm="267">
        <v>#VALUE!</v>
      </c>
    </row>
    <row r="814" spans="2:8" x14ac:dyDescent="0.25">
      <c r="B814" s="3" t="s">
        <v>420</v>
      </c>
      <c r="C814" t="str" cm="1">
        <f t="array" ref="C814:E814">_xlfn.TEXTSPLIT(B814, """")</f>
        <v xml:space="preserve">soundWaveCircle = </v>
      </c>
      <c r="D814" t="str">
        <v>SoundWaveCircle</v>
      </c>
      <c r="E814" t="str">
        <v/>
      </c>
      <c r="F814" t="e" cm="1" vm="411">
        <f t="array" ref="F814">IF(D814="","",_xldudf_A_ENTICON(D814))</f>
        <v>#VALUE!</v>
      </c>
      <c r="H814" t="e" vm="268">
        <v>#VALUE!</v>
      </c>
    </row>
    <row r="815" spans="2:8" x14ac:dyDescent="0.25">
      <c r="B815" s="3"/>
      <c r="C815" t="e" cm="1">
        <f t="array" ref="C815">_xlfn.TEXTSPLIT(B815, """")</f>
        <v>#VALUE!</v>
      </c>
      <c r="F815" t="str" cm="1">
        <f t="array" ref="F815">IF(D815="","",_xldudf_A_ENTICON(D815))</f>
        <v/>
      </c>
      <c r="H815" t="e" vm="269">
        <v>#VALUE!</v>
      </c>
    </row>
    <row r="816" spans="2:8" x14ac:dyDescent="0.25">
      <c r="B816" s="3" t="s">
        <v>421</v>
      </c>
      <c r="C816" t="str" cm="1">
        <f t="array" ref="C816:E816">_xlfn.TEXTSPLIT(B816, """")</f>
        <v xml:space="preserve">sparkle = </v>
      </c>
      <c r="D816" t="str">
        <v>Sparkle</v>
      </c>
      <c r="E816" t="str">
        <v/>
      </c>
      <c r="F816" t="e" cm="1" vm="412">
        <f t="array" ref="F816">IF(D816="","",_xldudf_A_ENTICON(D816))</f>
        <v>#VALUE!</v>
      </c>
      <c r="H816" t="e" vm="270">
        <v>#VALUE!</v>
      </c>
    </row>
    <row r="817" spans="2:8" x14ac:dyDescent="0.25">
      <c r="B817" s="3"/>
      <c r="C817" t="e" cm="1">
        <f t="array" ref="C817">_xlfn.TEXTSPLIT(B817, """")</f>
        <v>#VALUE!</v>
      </c>
      <c r="F817" t="str" cm="1">
        <f t="array" ref="F817">IF(D817="","",_xldudf_A_ENTICON(D817))</f>
        <v/>
      </c>
      <c r="H817" t="e" vm="271">
        <v>#VALUE!</v>
      </c>
    </row>
    <row r="818" spans="2:8" x14ac:dyDescent="0.25">
      <c r="B818" s="3" t="s">
        <v>422</v>
      </c>
      <c r="C818" t="str" cm="1">
        <f t="array" ref="C818:E818">_xlfn.TEXTSPLIT(B818, """")</f>
        <v xml:space="preserve">speaker0 = </v>
      </c>
      <c r="D818" t="str">
        <v>Speaker0</v>
      </c>
      <c r="E818" t="str">
        <v/>
      </c>
      <c r="F818" t="e" cm="1" vm="413">
        <f t="array" ref="F818">IF(D818="","",_xldudf_A_ENTICON(D818))</f>
        <v>#VALUE!</v>
      </c>
      <c r="H818" t="e" vm="272">
        <v>#VALUE!</v>
      </c>
    </row>
    <row r="819" spans="2:8" x14ac:dyDescent="0.25">
      <c r="B819" s="3"/>
      <c r="C819" t="e" cm="1">
        <f t="array" ref="C819">_xlfn.TEXTSPLIT(B819, """")</f>
        <v>#VALUE!</v>
      </c>
      <c r="F819" t="str" cm="1">
        <f t="array" ref="F819">IF(D819="","",_xldudf_A_ENTICON(D819))</f>
        <v/>
      </c>
      <c r="H819" t="e" vm="273">
        <v>#VALUE!</v>
      </c>
    </row>
    <row r="820" spans="2:8" x14ac:dyDescent="0.25">
      <c r="B820" s="3" t="s">
        <v>423</v>
      </c>
      <c r="C820" t="str" cm="1">
        <f t="array" ref="C820:E820">_xlfn.TEXTSPLIT(B820, """")</f>
        <v xml:space="preserve">speaker2 = </v>
      </c>
      <c r="D820" t="str">
        <v>Speaker2</v>
      </c>
      <c r="E820" t="str">
        <v/>
      </c>
      <c r="F820" t="e" cm="1" vm="414">
        <f t="array" ref="F820">IF(D820="","",_xldudf_A_ENTICON(D820))</f>
        <v>#VALUE!</v>
      </c>
      <c r="H820" t="e" vm="274">
        <v>#VALUE!</v>
      </c>
    </row>
    <row r="821" spans="2:8" x14ac:dyDescent="0.25">
      <c r="B821" s="3"/>
      <c r="C821" t="e" cm="1">
        <f t="array" ref="C821">_xlfn.TEXTSPLIT(B821, """")</f>
        <v>#VALUE!</v>
      </c>
      <c r="F821" t="str" cm="1">
        <f t="array" ref="F821">IF(D821="","",_xldudf_A_ENTICON(D821))</f>
        <v/>
      </c>
      <c r="H821" t="e" vm="275">
        <v>#VALUE!</v>
      </c>
    </row>
    <row r="822" spans="2:8" x14ac:dyDescent="0.25">
      <c r="B822" s="3" t="s">
        <v>424</v>
      </c>
      <c r="C822" t="str" cm="1">
        <f t="array" ref="C822:E822">_xlfn.TEXTSPLIT(B822, """")</f>
        <v xml:space="preserve">sport = </v>
      </c>
      <c r="D822" t="str">
        <v>Sport</v>
      </c>
      <c r="E822" t="str">
        <v/>
      </c>
      <c r="F822" t="e" cm="1" vm="415">
        <f t="array" ref="F822">IF(D822="","",_xldudf_A_ENTICON(D822))</f>
        <v>#VALUE!</v>
      </c>
      <c r="H822" t="e" vm="276">
        <v>#VALUE!</v>
      </c>
    </row>
    <row r="823" spans="2:8" x14ac:dyDescent="0.25">
      <c r="B823" s="3"/>
      <c r="C823" t="e" cm="1">
        <f t="array" ref="C823">_xlfn.TEXTSPLIT(B823, """")</f>
        <v>#VALUE!</v>
      </c>
      <c r="F823" t="str" cm="1">
        <f t="array" ref="F823">IF(D823="","",_xldudf_A_ENTICON(D823))</f>
        <v/>
      </c>
      <c r="H823" t="e" vm="277">
        <v>#VALUE!</v>
      </c>
    </row>
    <row r="824" spans="2:8" x14ac:dyDescent="0.25">
      <c r="B824" s="3" t="s">
        <v>425</v>
      </c>
      <c r="C824" t="str" cm="1">
        <f t="array" ref="C824:E824">_xlfn.TEXTSPLIT(B824, """")</f>
        <v xml:space="preserve">sportAmericanFootball = </v>
      </c>
      <c r="D824" t="str">
        <v>SportAmericanFootball</v>
      </c>
      <c r="E824" t="str">
        <v/>
      </c>
      <c r="F824" t="e" cm="1" vm="416">
        <f t="array" ref="F824">IF(D824="","",_xldudf_A_ENTICON(D824))</f>
        <v>#VALUE!</v>
      </c>
      <c r="H824" t="e" vm="278">
        <v>#VALUE!</v>
      </c>
    </row>
    <row r="825" spans="2:8" x14ac:dyDescent="0.25">
      <c r="B825" s="3"/>
      <c r="C825" t="e" cm="1">
        <f t="array" ref="C825">_xlfn.TEXTSPLIT(B825, """")</f>
        <v>#VALUE!</v>
      </c>
      <c r="F825" t="str" cm="1">
        <f t="array" ref="F825">IF(D825="","",_xldudf_A_ENTICON(D825))</f>
        <v/>
      </c>
      <c r="H825" t="e" vm="279">
        <v>#VALUE!</v>
      </c>
    </row>
    <row r="826" spans="2:8" x14ac:dyDescent="0.25">
      <c r="B826" s="3" t="s">
        <v>426</v>
      </c>
      <c r="C826" t="str" cm="1">
        <f t="array" ref="C826:E826">_xlfn.TEXTSPLIT(B826, """")</f>
        <v xml:space="preserve">sportBaseball = </v>
      </c>
      <c r="D826" t="str">
        <v>SportBaseball</v>
      </c>
      <c r="E826" t="str">
        <v/>
      </c>
      <c r="F826" t="e" cm="1" vm="417">
        <f t="array" ref="F826">IF(D826="","",_xldudf_A_ENTICON(D826))</f>
        <v>#VALUE!</v>
      </c>
      <c r="H826" t="e" vm="280">
        <v>#VALUE!</v>
      </c>
    </row>
    <row r="827" spans="2:8" x14ac:dyDescent="0.25">
      <c r="B827" s="3"/>
      <c r="C827" t="e" cm="1">
        <f t="array" ref="C827">_xlfn.TEXTSPLIT(B827, """")</f>
        <v>#VALUE!</v>
      </c>
      <c r="F827" t="str" cm="1">
        <f t="array" ref="F827">IF(D827="","",_xldudf_A_ENTICON(D827))</f>
        <v/>
      </c>
      <c r="H827" t="e" vm="281">
        <v>#VALUE!</v>
      </c>
    </row>
    <row r="828" spans="2:8" x14ac:dyDescent="0.25">
      <c r="B828" s="3" t="s">
        <v>427</v>
      </c>
      <c r="C828" t="str" cm="1">
        <f t="array" ref="C828:E828">_xlfn.TEXTSPLIT(B828, """")</f>
        <v xml:space="preserve">sportBasketball = </v>
      </c>
      <c r="D828" t="str">
        <v>SportBasketball</v>
      </c>
      <c r="E828" t="str">
        <v/>
      </c>
      <c r="F828" t="e" cm="1" vm="418">
        <f t="array" ref="F828">IF(D828="","",_xldudf_A_ENTICON(D828))</f>
        <v>#VALUE!</v>
      </c>
      <c r="H828" t="e" vm="282">
        <v>#VALUE!</v>
      </c>
    </row>
    <row r="829" spans="2:8" x14ac:dyDescent="0.25">
      <c r="B829" s="3"/>
      <c r="C829" t="e" cm="1">
        <f t="array" ref="C829">_xlfn.TEXTSPLIT(B829, """")</f>
        <v>#VALUE!</v>
      </c>
      <c r="F829" t="str" cm="1">
        <f t="array" ref="F829">IF(D829="","",_xldudf_A_ENTICON(D829))</f>
        <v/>
      </c>
      <c r="H829" t="e" vm="283">
        <v>#VALUE!</v>
      </c>
    </row>
    <row r="830" spans="2:8" x14ac:dyDescent="0.25">
      <c r="B830" s="3" t="s">
        <v>428</v>
      </c>
      <c r="C830" t="str" cm="1">
        <f t="array" ref="C830:E830">_xlfn.TEXTSPLIT(B830, """")</f>
        <v xml:space="preserve">sportHockey = </v>
      </c>
      <c r="D830" t="str">
        <v>SportHockey</v>
      </c>
      <c r="E830" t="str">
        <v/>
      </c>
      <c r="F830" t="e" cm="1" vm="419">
        <f t="array" ref="F830">IF(D830="","",_xldudf_A_ENTICON(D830))</f>
        <v>#VALUE!</v>
      </c>
      <c r="H830" t="e" vm="284">
        <v>#VALUE!</v>
      </c>
    </row>
    <row r="831" spans="2:8" x14ac:dyDescent="0.25">
      <c r="B831" s="3"/>
      <c r="C831" t="e" cm="1">
        <f t="array" ref="C831">_xlfn.TEXTSPLIT(B831, """")</f>
        <v>#VALUE!</v>
      </c>
      <c r="F831" t="str" cm="1">
        <f t="array" ref="F831">IF(D831="","",_xldudf_A_ENTICON(D831))</f>
        <v/>
      </c>
      <c r="H831" t="e" vm="285">
        <v>#VALUE!</v>
      </c>
    </row>
    <row r="832" spans="2:8" x14ac:dyDescent="0.25">
      <c r="B832" s="3" t="s">
        <v>429</v>
      </c>
      <c r="C832" t="str" cm="1">
        <f t="array" ref="C832:E832">_xlfn.TEXTSPLIT(B832, """")</f>
        <v xml:space="preserve">sportSoccer = </v>
      </c>
      <c r="D832" t="str">
        <v>SportSoccer</v>
      </c>
      <c r="E832" t="str">
        <v/>
      </c>
      <c r="F832" t="e" cm="1" vm="420">
        <f t="array" ref="F832">IF(D832="","",_xldudf_A_ENTICON(D832))</f>
        <v>#VALUE!</v>
      </c>
      <c r="H832" t="e" vm="286">
        <v>#VALUE!</v>
      </c>
    </row>
    <row r="833" spans="2:8" x14ac:dyDescent="0.25">
      <c r="B833" s="3"/>
      <c r="C833" t="e" cm="1">
        <f t="array" ref="C833">_xlfn.TEXTSPLIT(B833, """")</f>
        <v>#VALUE!</v>
      </c>
      <c r="F833" t="str" cm="1">
        <f t="array" ref="F833">IF(D833="","",_xldudf_A_ENTICON(D833))</f>
        <v/>
      </c>
      <c r="H833" t="e" vm="287">
        <v>#VALUE!</v>
      </c>
    </row>
    <row r="834" spans="2:8" x14ac:dyDescent="0.25">
      <c r="B834" s="3" t="s">
        <v>430</v>
      </c>
      <c r="C834" t="str" cm="1">
        <f t="array" ref="C834:E834">_xlfn.TEXTSPLIT(B834, """")</f>
        <v xml:space="preserve">squareMultiple = </v>
      </c>
      <c r="D834" t="str">
        <v>SquareMultiple</v>
      </c>
      <c r="E834" t="str">
        <v/>
      </c>
      <c r="F834" t="e" cm="1" vm="421">
        <f t="array" ref="F834">IF(D834="","",_xldudf_A_ENTICON(D834))</f>
        <v>#VALUE!</v>
      </c>
      <c r="H834" t="e" vm="288">
        <v>#VALUE!</v>
      </c>
    </row>
    <row r="835" spans="2:8" x14ac:dyDescent="0.25">
      <c r="B835" s="3"/>
      <c r="C835" t="e" cm="1">
        <f t="array" ref="C835">_xlfn.TEXTSPLIT(B835, """")</f>
        <v>#VALUE!</v>
      </c>
      <c r="F835" t="str" cm="1">
        <f t="array" ref="F835">IF(D835="","",_xldudf_A_ENTICON(D835))</f>
        <v/>
      </c>
      <c r="H835" t="e" vm="289">
        <v>#VALUE!</v>
      </c>
    </row>
    <row r="836" spans="2:8" x14ac:dyDescent="0.25">
      <c r="B836" s="3" t="s">
        <v>431</v>
      </c>
      <c r="C836" t="str" cm="1">
        <f t="array" ref="C836:E836">_xlfn.TEXTSPLIT(B836, """")</f>
        <v xml:space="preserve">squareShadow = </v>
      </c>
      <c r="D836" t="str">
        <v>SquareShadow</v>
      </c>
      <c r="E836" t="str">
        <v/>
      </c>
      <c r="F836" t="e" cm="1" vm="422">
        <f t="array" ref="F836">IF(D836="","",_xldudf_A_ENTICON(D836))</f>
        <v>#VALUE!</v>
      </c>
      <c r="H836" t="e" vm="290">
        <v>#VALUE!</v>
      </c>
    </row>
    <row r="837" spans="2:8" x14ac:dyDescent="0.25">
      <c r="B837" s="3"/>
      <c r="C837" t="e" cm="1">
        <f t="array" ref="C837">_xlfn.TEXTSPLIT(B837, """")</f>
        <v>#VALUE!</v>
      </c>
      <c r="F837" t="str" cm="1">
        <f t="array" ref="F837">IF(D837="","",_xldudf_A_ENTICON(D837))</f>
        <v/>
      </c>
      <c r="H837" t="e" vm="291">
        <v>#VALUE!</v>
      </c>
    </row>
    <row r="838" spans="2:8" x14ac:dyDescent="0.25">
      <c r="B838" s="3" t="s">
        <v>432</v>
      </c>
      <c r="C838" t="str" cm="1">
        <f t="array" ref="C838:E838">_xlfn.TEXTSPLIT(B838, """")</f>
        <v xml:space="preserve">squaresNested = </v>
      </c>
      <c r="D838" t="str">
        <v>SquaresNested</v>
      </c>
      <c r="E838" t="str">
        <v/>
      </c>
      <c r="F838" t="e" cm="1" vm="423">
        <f t="array" ref="F838">IF(D838="","",_xldudf_A_ENTICON(D838))</f>
        <v>#VALUE!</v>
      </c>
      <c r="H838" t="e" vm="292">
        <v>#VALUE!</v>
      </c>
    </row>
    <row r="839" spans="2:8" x14ac:dyDescent="0.25">
      <c r="B839" s="3"/>
      <c r="C839" t="e" cm="1">
        <f t="array" ref="C839">_xlfn.TEXTSPLIT(B839, """")</f>
        <v>#VALUE!</v>
      </c>
      <c r="F839" t="str" cm="1">
        <f t="array" ref="F839">IF(D839="","",_xldudf_A_ENTICON(D839))</f>
        <v/>
      </c>
      <c r="H839" t="e" vm="293">
        <v>#VALUE!</v>
      </c>
    </row>
    <row r="840" spans="2:8" x14ac:dyDescent="0.25">
      <c r="B840" s="3" t="s">
        <v>433</v>
      </c>
      <c r="C840" t="str" cm="1">
        <f t="array" ref="C840:E840">_xlfn.TEXTSPLIT(B840, """")</f>
        <v xml:space="preserve">stack = </v>
      </c>
      <c r="D840" t="str">
        <v>Stack</v>
      </c>
      <c r="E840" t="str">
        <v/>
      </c>
      <c r="F840" t="e" cm="1" vm="424">
        <f t="array" ref="F840">IF(D840="","",_xldudf_A_ENTICON(D840))</f>
        <v>#VALUE!</v>
      </c>
      <c r="H840" t="e" vm="294">
        <v>#VALUE!</v>
      </c>
    </row>
    <row r="841" spans="2:8" x14ac:dyDescent="0.25">
      <c r="B841" s="3"/>
      <c r="C841" t="e" cm="1">
        <f t="array" ref="C841">_xlfn.TEXTSPLIT(B841, """")</f>
        <v>#VALUE!</v>
      </c>
      <c r="F841" t="str" cm="1">
        <f t="array" ref="F841">IF(D841="","",_xldudf_A_ENTICON(D841))</f>
        <v/>
      </c>
      <c r="H841" t="e" vm="295">
        <v>#VALUE!</v>
      </c>
    </row>
    <row r="842" spans="2:8" x14ac:dyDescent="0.25">
      <c r="B842" s="3" t="s">
        <v>434</v>
      </c>
      <c r="C842" t="str" cm="1">
        <f t="array" ref="C842:E842">_xlfn.TEXTSPLIT(B842, """")</f>
        <v xml:space="preserve">stackStar = </v>
      </c>
      <c r="D842" t="str">
        <v>StackStar</v>
      </c>
      <c r="E842" t="str">
        <v/>
      </c>
      <c r="F842" t="e" cm="1" vm="425">
        <f t="array" ref="F842">IF(D842="","",_xldudf_A_ENTICON(D842))</f>
        <v>#VALUE!</v>
      </c>
      <c r="H842" t="e" vm="296">
        <v>#VALUE!</v>
      </c>
    </row>
    <row r="843" spans="2:8" x14ac:dyDescent="0.25">
      <c r="B843" s="3"/>
      <c r="C843" t="e" cm="1">
        <f t="array" ref="C843">_xlfn.TEXTSPLIT(B843, """")</f>
        <v>#VALUE!</v>
      </c>
      <c r="F843" t="str" cm="1">
        <f t="array" ref="F843">IF(D843="","",_xldudf_A_ENTICON(D843))</f>
        <v/>
      </c>
      <c r="H843" t="e" vm="297">
        <v>#VALUE!</v>
      </c>
    </row>
    <row r="844" spans="2:8" x14ac:dyDescent="0.25">
      <c r="B844" s="3" t="s">
        <v>435</v>
      </c>
      <c r="C844" t="str" cm="1">
        <f t="array" ref="C844:E844">_xlfn.TEXTSPLIT(B844, """")</f>
        <v xml:space="preserve">star = </v>
      </c>
      <c r="D844" t="str">
        <v>Star</v>
      </c>
      <c r="E844" t="str">
        <v/>
      </c>
      <c r="F844" t="e" cm="1" vm="426">
        <f t="array" ref="F844">IF(D844="","",_xldudf_A_ENTICON(D844))</f>
        <v>#VALUE!</v>
      </c>
      <c r="H844" t="e" vm="298">
        <v>#VALUE!</v>
      </c>
    </row>
    <row r="845" spans="2:8" x14ac:dyDescent="0.25">
      <c r="B845" s="3"/>
      <c r="C845" t="e" cm="1">
        <f t="array" ref="C845">_xlfn.TEXTSPLIT(B845, """")</f>
        <v>#VALUE!</v>
      </c>
      <c r="F845" t="str" cm="1">
        <f t="array" ref="F845">IF(D845="","",_xldudf_A_ENTICON(D845))</f>
        <v/>
      </c>
      <c r="H845" t="e" vm="299">
        <v>#VALUE!</v>
      </c>
    </row>
    <row r="846" spans="2:8" x14ac:dyDescent="0.25">
      <c r="B846" s="3" t="s">
        <v>436</v>
      </c>
      <c r="C846" t="str" cm="1">
        <f t="array" ref="C846:E846">_xlfn.TEXTSPLIT(B846, """")</f>
        <v xml:space="preserve">starFilled = </v>
      </c>
      <c r="D846" t="str">
        <v>StarFilled</v>
      </c>
      <c r="E846" t="str">
        <v/>
      </c>
      <c r="F846" t="e" cm="1" vm="427">
        <f t="array" ref="F846">IF(D846="","",_xldudf_A_ENTICON(D846))</f>
        <v>#VALUE!</v>
      </c>
      <c r="H846" t="e" vm="300">
        <v>#VALUE!</v>
      </c>
    </row>
    <row r="847" spans="2:8" x14ac:dyDescent="0.25">
      <c r="B847" s="3"/>
      <c r="C847" t="e" cm="1">
        <f t="array" ref="C847">_xlfn.TEXTSPLIT(B847, """")</f>
        <v>#VALUE!</v>
      </c>
      <c r="F847" t="str" cm="1">
        <f t="array" ref="F847">IF(D847="","",_xldudf_A_ENTICON(D847))</f>
        <v/>
      </c>
      <c r="H847" t="e" vm="301">
        <v>#VALUE!</v>
      </c>
    </row>
    <row r="848" spans="2:8" x14ac:dyDescent="0.25">
      <c r="B848" s="3" t="s">
        <v>437</v>
      </c>
      <c r="C848" t="str" cm="1">
        <f t="array" ref="C848:E848">_xlfn.TEXTSPLIT(B848, """")</f>
        <v xml:space="preserve">starHalf = </v>
      </c>
      <c r="D848" t="str">
        <v>StarHalf</v>
      </c>
      <c r="E848" t="str">
        <v/>
      </c>
      <c r="F848" t="e" cm="1" vm="428">
        <f t="array" ref="F848">IF(D848="","",_xldudf_A_ENTICON(D848))</f>
        <v>#VALUE!</v>
      </c>
      <c r="H848" t="e" vm="302">
        <v>#VALUE!</v>
      </c>
    </row>
    <row r="849" spans="2:8" x14ac:dyDescent="0.25">
      <c r="B849" s="3"/>
      <c r="C849" t="e" cm="1">
        <f t="array" ref="C849">_xlfn.TEXTSPLIT(B849, """")</f>
        <v>#VALUE!</v>
      </c>
      <c r="F849" t="str" cm="1">
        <f t="array" ref="F849">IF(D849="","",_xldudf_A_ENTICON(D849))</f>
        <v/>
      </c>
      <c r="H849" t="e" vm="303">
        <v>#VALUE!</v>
      </c>
    </row>
    <row r="850" spans="2:8" x14ac:dyDescent="0.25">
      <c r="B850" s="3" t="s">
        <v>438</v>
      </c>
      <c r="C850" t="str" cm="1">
        <f t="array" ref="C850:E850">_xlfn.TEXTSPLIT(B850, """")</f>
        <v xml:space="preserve">starLineHorizontal3 = </v>
      </c>
      <c r="D850" t="str">
        <v>StarLineHorizontal3</v>
      </c>
      <c r="E850" t="str">
        <v/>
      </c>
      <c r="F850" t="e" cm="1" vm="429">
        <f t="array" ref="F850">IF(D850="","",_xldudf_A_ENTICON(D850))</f>
        <v>#VALUE!</v>
      </c>
      <c r="H850" t="e" vm="304">
        <v>#VALUE!</v>
      </c>
    </row>
    <row r="851" spans="2:8" x14ac:dyDescent="0.25">
      <c r="B851" s="3"/>
      <c r="C851" t="e" cm="1">
        <f t="array" ref="C851">_xlfn.TEXTSPLIT(B851, """")</f>
        <v>#VALUE!</v>
      </c>
      <c r="F851" t="str" cm="1">
        <f t="array" ref="F851">IF(D851="","",_xldudf_A_ENTICON(D851))</f>
        <v/>
      </c>
      <c r="H851" t="e" vm="305">
        <v>#VALUE!</v>
      </c>
    </row>
    <row r="852" spans="2:8" x14ac:dyDescent="0.25">
      <c r="B852" s="3" t="s">
        <v>439</v>
      </c>
      <c r="C852" t="str" cm="1">
        <f t="array" ref="C852:E852">_xlfn.TEXTSPLIT(B852, """")</f>
        <v xml:space="preserve">starOneQuarter = </v>
      </c>
      <c r="D852" t="str">
        <v>StarOneQuarter</v>
      </c>
      <c r="E852" t="str">
        <v/>
      </c>
      <c r="F852" t="e" cm="1" vm="430">
        <f t="array" ref="F852">IF(D852="","",_xldudf_A_ENTICON(D852))</f>
        <v>#VALUE!</v>
      </c>
      <c r="H852" t="e" vm="306">
        <v>#VALUE!</v>
      </c>
    </row>
    <row r="853" spans="2:8" x14ac:dyDescent="0.25">
      <c r="B853" s="3"/>
      <c r="C853" t="e" cm="1">
        <f t="array" ref="C853">_xlfn.TEXTSPLIT(B853, """")</f>
        <v>#VALUE!</v>
      </c>
      <c r="F853" t="str" cm="1">
        <f t="array" ref="F853">IF(D853="","",_xldudf_A_ENTICON(D853))</f>
        <v/>
      </c>
      <c r="H853" t="e" vm="307">
        <v>#VALUE!</v>
      </c>
    </row>
    <row r="854" spans="2:8" x14ac:dyDescent="0.25">
      <c r="B854" s="3" t="s">
        <v>440</v>
      </c>
      <c r="C854" t="str" cm="1">
        <f t="array" ref="C854:E854">_xlfn.TEXTSPLIT(B854, """")</f>
        <v xml:space="preserve">starThreeQuarter = </v>
      </c>
      <c r="D854" t="str">
        <v>StarThreeQuarter</v>
      </c>
      <c r="E854" t="str">
        <v/>
      </c>
      <c r="F854" t="e" cm="1" vm="431">
        <f t="array" ref="F854">IF(D854="","",_xldudf_A_ENTICON(D854))</f>
        <v>#VALUE!</v>
      </c>
      <c r="H854" t="e" vm="308">
        <v>#VALUE!</v>
      </c>
    </row>
    <row r="855" spans="2:8" x14ac:dyDescent="0.25">
      <c r="B855" s="3"/>
      <c r="C855" t="e" cm="1">
        <f t="array" ref="C855">_xlfn.TEXTSPLIT(B855, """")</f>
        <v>#VALUE!</v>
      </c>
      <c r="F855" t="str" cm="1">
        <f t="array" ref="F855">IF(D855="","",_xldudf_A_ENTICON(D855))</f>
        <v/>
      </c>
      <c r="H855" t="e" vm="309">
        <v>#VALUE!</v>
      </c>
    </row>
    <row r="856" spans="2:8" x14ac:dyDescent="0.25">
      <c r="B856" s="3" t="s">
        <v>441</v>
      </c>
      <c r="C856" t="str" cm="1">
        <f t="array" ref="C856:E856">_xlfn.TEXTSPLIT(B856, """")</f>
        <v xml:space="preserve">status = </v>
      </c>
      <c r="D856" t="str">
        <v>Status</v>
      </c>
      <c r="E856" t="str">
        <v/>
      </c>
      <c r="F856" t="e" cm="1" vm="432">
        <f t="array" ref="F856">IF(D856="","",_xldudf_A_ENTICON(D856))</f>
        <v>#VALUE!</v>
      </c>
      <c r="H856" t="e" vm="310">
        <v>#VALUE!</v>
      </c>
    </row>
    <row r="857" spans="2:8" x14ac:dyDescent="0.25">
      <c r="B857" s="3"/>
      <c r="C857" t="e" cm="1">
        <f t="array" ref="C857">_xlfn.TEXTSPLIT(B857, """")</f>
        <v>#VALUE!</v>
      </c>
      <c r="F857" t="str" cm="1">
        <f t="array" ref="F857">IF(D857="","",_xldudf_A_ENTICON(D857))</f>
        <v/>
      </c>
      <c r="H857" t="e" vm="311">
        <v>#VALUE!</v>
      </c>
    </row>
    <row r="858" spans="2:8" x14ac:dyDescent="0.25">
      <c r="B858" s="3" t="s">
        <v>442</v>
      </c>
      <c r="C858" t="str" cm="1">
        <f t="array" ref="C858:E858">_xlfn.TEXTSPLIT(B858, """")</f>
        <v xml:space="preserve">steps = </v>
      </c>
      <c r="D858" t="str">
        <v>Steps</v>
      </c>
      <c r="E858" t="str">
        <v/>
      </c>
      <c r="F858" t="e" cm="1" vm="433">
        <f t="array" ref="F858">IF(D858="","",_xldudf_A_ENTICON(D858))</f>
        <v>#VALUE!</v>
      </c>
      <c r="H858" t="e" vm="312">
        <v>#VALUE!</v>
      </c>
    </row>
    <row r="859" spans="2:8" x14ac:dyDescent="0.25">
      <c r="B859" s="3"/>
      <c r="C859" t="e" cm="1">
        <f t="array" ref="C859">_xlfn.TEXTSPLIT(B859, """")</f>
        <v>#VALUE!</v>
      </c>
      <c r="F859" t="str" cm="1">
        <f t="array" ref="F859">IF(D859="","",_xldudf_A_ENTICON(D859))</f>
        <v/>
      </c>
      <c r="H859" t="e" vm="313">
        <v>#VALUE!</v>
      </c>
    </row>
    <row r="860" spans="2:8" x14ac:dyDescent="0.25">
      <c r="B860" s="3" t="s">
        <v>443</v>
      </c>
      <c r="C860" t="str" cm="1">
        <f t="array" ref="C860:E860">_xlfn.TEXTSPLIT(B860, """")</f>
        <v xml:space="preserve">stethoscope = </v>
      </c>
      <c r="D860" t="str">
        <v>Stethoscope</v>
      </c>
      <c r="E860" t="str">
        <v/>
      </c>
      <c r="F860" t="e" cm="1" vm="434">
        <f t="array" ref="F860">IF(D860="","",_xldudf_A_ENTICON(D860))</f>
        <v>#VALUE!</v>
      </c>
      <c r="H860" t="e" vm="314">
        <v>#VALUE!</v>
      </c>
    </row>
    <row r="861" spans="2:8" x14ac:dyDescent="0.25">
      <c r="B861" s="3"/>
      <c r="C861" t="e" cm="1">
        <f t="array" ref="C861">_xlfn.TEXTSPLIT(B861, """")</f>
        <v>#VALUE!</v>
      </c>
      <c r="F861" t="str" cm="1">
        <f t="array" ref="F861">IF(D861="","",_xldudf_A_ENTICON(D861))</f>
        <v/>
      </c>
      <c r="H861" t="e" vm="315">
        <v>#VALUE!</v>
      </c>
    </row>
    <row r="862" spans="2:8" x14ac:dyDescent="0.25">
      <c r="B862" s="3" t="s">
        <v>444</v>
      </c>
      <c r="C862" t="str" cm="1">
        <f t="array" ref="C862:E862">_xlfn.TEXTSPLIT(B862, """")</f>
        <v xml:space="preserve">sticker = </v>
      </c>
      <c r="D862" t="str">
        <v>Sticker</v>
      </c>
      <c r="E862" t="str">
        <v/>
      </c>
      <c r="F862" t="e" cm="1" vm="435">
        <f t="array" ref="F862">IF(D862="","",_xldudf_A_ENTICON(D862))</f>
        <v>#VALUE!</v>
      </c>
      <c r="H862" t="e" vm="316">
        <v>#VALUE!</v>
      </c>
    </row>
    <row r="863" spans="2:8" x14ac:dyDescent="0.25">
      <c r="B863" s="3"/>
      <c r="C863" t="e" cm="1">
        <f t="array" ref="C863">_xlfn.TEXTSPLIT(B863, """")</f>
        <v>#VALUE!</v>
      </c>
      <c r="F863" t="str" cm="1">
        <f t="array" ref="F863">IF(D863="","",_xldudf_A_ENTICON(D863))</f>
        <v/>
      </c>
      <c r="H863" t="e" vm="317">
        <v>#VALUE!</v>
      </c>
    </row>
    <row r="864" spans="2:8" x14ac:dyDescent="0.25">
      <c r="B864" s="3" t="s">
        <v>445</v>
      </c>
      <c r="C864" t="str" cm="1">
        <f t="array" ref="C864:E864">_xlfn.TEXTSPLIT(B864, """")</f>
        <v xml:space="preserve">storage = </v>
      </c>
      <c r="D864" t="str">
        <v>Storage</v>
      </c>
      <c r="E864" t="str">
        <v/>
      </c>
      <c r="F864" t="e" cm="1" vm="436">
        <f t="array" ref="F864">IF(D864="","",_xldudf_A_ENTICON(D864))</f>
        <v>#VALUE!</v>
      </c>
      <c r="H864" t="e" vm="318">
        <v>#VALUE!</v>
      </c>
    </row>
    <row r="865" spans="2:8" x14ac:dyDescent="0.25">
      <c r="B865" s="3"/>
      <c r="C865" t="e" cm="1">
        <f t="array" ref="C865">_xlfn.TEXTSPLIT(B865, """")</f>
        <v>#VALUE!</v>
      </c>
      <c r="F865" t="str" cm="1">
        <f t="array" ref="F865">IF(D865="","",_xldudf_A_ENTICON(D865))</f>
        <v/>
      </c>
      <c r="H865" t="e" vm="319">
        <v>#VALUE!</v>
      </c>
    </row>
    <row r="866" spans="2:8" x14ac:dyDescent="0.25">
      <c r="B866" s="3" t="s">
        <v>446</v>
      </c>
      <c r="C866" t="str" cm="1">
        <f t="array" ref="C866:E866">_xlfn.TEXTSPLIT(B866, """")</f>
        <v xml:space="preserve">stream = </v>
      </c>
      <c r="D866" t="str">
        <v>Stream</v>
      </c>
      <c r="E866" t="str">
        <v/>
      </c>
      <c r="F866" t="e" cm="1" vm="437">
        <f t="array" ref="F866">IF(D866="","",_xldudf_A_ENTICON(D866))</f>
        <v>#VALUE!</v>
      </c>
      <c r="H866" t="e" vm="320">
        <v>#VALUE!</v>
      </c>
    </row>
    <row r="867" spans="2:8" x14ac:dyDescent="0.25">
      <c r="B867" s="3"/>
      <c r="C867" t="e" cm="1">
        <f t="array" ref="C867">_xlfn.TEXTSPLIT(B867, """")</f>
        <v>#VALUE!</v>
      </c>
      <c r="F867" t="str" cm="1">
        <f t="array" ref="F867">IF(D867="","",_xldudf_A_ENTICON(D867))</f>
        <v/>
      </c>
      <c r="H867" t="e" vm="321">
        <v>#VALUE!</v>
      </c>
    </row>
    <row r="868" spans="2:8" x14ac:dyDescent="0.25">
      <c r="B868" s="3" t="s">
        <v>447</v>
      </c>
      <c r="C868" t="str" cm="1">
        <f t="array" ref="C868:E868">_xlfn.TEXTSPLIT(B868, """")</f>
        <v xml:space="preserve">streamInput = </v>
      </c>
      <c r="D868" t="str">
        <v>StreamInput</v>
      </c>
      <c r="E868" t="str">
        <v/>
      </c>
      <c r="F868" t="e" cm="1" vm="438">
        <f t="array" ref="F868">IF(D868="","",_xldudf_A_ENTICON(D868))</f>
        <v>#VALUE!</v>
      </c>
      <c r="H868" t="e" vm="322">
        <v>#VALUE!</v>
      </c>
    </row>
    <row r="869" spans="2:8" x14ac:dyDescent="0.25">
      <c r="B869" s="3"/>
      <c r="C869" t="e" cm="1">
        <f t="array" ref="C869">_xlfn.TEXTSPLIT(B869, """")</f>
        <v>#VALUE!</v>
      </c>
      <c r="F869" t="str" cm="1">
        <f t="array" ref="F869">IF(D869="","",_xldudf_A_ENTICON(D869))</f>
        <v/>
      </c>
      <c r="H869" t="e" vm="323">
        <v>#VALUE!</v>
      </c>
    </row>
    <row r="870" spans="2:8" x14ac:dyDescent="0.25">
      <c r="B870" s="3" t="s">
        <v>448</v>
      </c>
      <c r="C870" t="str" cm="1">
        <f t="array" ref="C870:E870">_xlfn.TEXTSPLIT(B870, """")</f>
        <v xml:space="preserve">streamInputOutput = </v>
      </c>
      <c r="D870" t="str">
        <v>StreamInputOutput</v>
      </c>
      <c r="E870" t="str">
        <v/>
      </c>
      <c r="F870" t="e" cm="1" vm="439">
        <f t="array" ref="F870">IF(D870="","",_xldudf_A_ENTICON(D870))</f>
        <v>#VALUE!</v>
      </c>
      <c r="H870" t="e" vm="324">
        <v>#VALUE!</v>
      </c>
    </row>
    <row r="871" spans="2:8" x14ac:dyDescent="0.25">
      <c r="B871" s="3"/>
      <c r="C871" t="e" cm="1">
        <f t="array" ref="C871">_xlfn.TEXTSPLIT(B871, """")</f>
        <v>#VALUE!</v>
      </c>
      <c r="F871" t="str" cm="1">
        <f t="array" ref="F871">IF(D871="","",_xldudf_A_ENTICON(D871))</f>
        <v/>
      </c>
      <c r="H871" t="e" vm="325">
        <v>#VALUE!</v>
      </c>
    </row>
    <row r="872" spans="2:8" x14ac:dyDescent="0.25">
      <c r="B872" s="3" t="s">
        <v>449</v>
      </c>
      <c r="C872" t="str" cm="1">
        <f t="array" ref="C872:E872">_xlfn.TEXTSPLIT(B872, """")</f>
        <v xml:space="preserve">streamOutput = </v>
      </c>
      <c r="D872" t="str">
        <v>StreamOutput</v>
      </c>
      <c r="E872" t="str">
        <v/>
      </c>
      <c r="F872" t="e" cm="1" vm="440">
        <f t="array" ref="F872">IF(D872="","",_xldudf_A_ENTICON(D872))</f>
        <v>#VALUE!</v>
      </c>
      <c r="H872" t="e" vm="326">
        <v>#VALUE!</v>
      </c>
    </row>
    <row r="873" spans="2:8" x14ac:dyDescent="0.25">
      <c r="B873" s="3"/>
      <c r="C873" t="e" cm="1">
        <f t="array" ref="C873">_xlfn.TEXTSPLIT(B873, """")</f>
        <v>#VALUE!</v>
      </c>
      <c r="F873" t="str" cm="1">
        <f t="array" ref="F873">IF(D873="","",_xldudf_A_ENTICON(D873))</f>
        <v/>
      </c>
      <c r="H873" t="e" vm="327">
        <v>#VALUE!</v>
      </c>
    </row>
    <row r="874" spans="2:8" x14ac:dyDescent="0.25">
      <c r="B874" s="3" t="s">
        <v>450</v>
      </c>
      <c r="C874" t="str" cm="1">
        <f t="array" ref="C874:E874">_xlfn.TEXTSPLIT(B874, """")</f>
        <v xml:space="preserve">styleGuide = </v>
      </c>
      <c r="D874" t="str">
        <v>StyleGuide</v>
      </c>
      <c r="E874" t="str">
        <v/>
      </c>
      <c r="F874" t="e" cm="1" vm="441">
        <f t="array" ref="F874">IF(D874="","",_xldudf_A_ENTICON(D874))</f>
        <v>#VALUE!</v>
      </c>
      <c r="H874" t="e" vm="328">
        <v>#VALUE!</v>
      </c>
    </row>
    <row r="875" spans="2:8" x14ac:dyDescent="0.25">
      <c r="B875" s="3"/>
      <c r="C875" t="e" cm="1">
        <f t="array" ref="C875">_xlfn.TEXTSPLIT(B875, """")</f>
        <v>#VALUE!</v>
      </c>
      <c r="F875" t="str" cm="1">
        <f t="array" ref="F875">IF(D875="","",_xldudf_A_ENTICON(D875))</f>
        <v/>
      </c>
      <c r="H875" t="e" vm="329">
        <v>#VALUE!</v>
      </c>
    </row>
    <row r="876" spans="2:8" x14ac:dyDescent="0.25">
      <c r="B876" s="3" t="s">
        <v>451</v>
      </c>
      <c r="C876" t="str" cm="1">
        <f t="array" ref="C876:E876">_xlfn.TEXTSPLIT(B876, """")</f>
        <v xml:space="preserve">subGrid = </v>
      </c>
      <c r="D876" t="str">
        <v>SubGrid</v>
      </c>
      <c r="E876" t="str">
        <v/>
      </c>
      <c r="F876" t="e" cm="1" vm="442">
        <f t="array" ref="F876">IF(D876="","",_xldudf_A_ENTICON(D876))</f>
        <v>#VALUE!</v>
      </c>
      <c r="H876" t="e" vm="330">
        <v>#VALUE!</v>
      </c>
    </row>
    <row r="877" spans="2:8" x14ac:dyDescent="0.25">
      <c r="B877" s="3"/>
      <c r="C877" t="e" cm="1">
        <f t="array" ref="C877">_xlfn.TEXTSPLIT(B877, """")</f>
        <v>#VALUE!</v>
      </c>
      <c r="F877" t="str" cm="1">
        <f t="array" ref="F877">IF(D877="","",_xldudf_A_ENTICON(D877))</f>
        <v/>
      </c>
      <c r="H877" t="e" vm="331">
        <v>#VALUE!</v>
      </c>
    </row>
    <row r="878" spans="2:8" x14ac:dyDescent="0.25">
      <c r="B878" s="3" t="s">
        <v>452</v>
      </c>
      <c r="C878" t="str" cm="1">
        <f t="array" ref="C878:E878">_xlfn.TEXTSPLIT(B878, """")</f>
        <v xml:space="preserve">subtitles = </v>
      </c>
      <c r="D878" t="str">
        <v>Subtitles</v>
      </c>
      <c r="E878" t="str">
        <v/>
      </c>
      <c r="F878" t="e" cm="1" vm="443">
        <f t="array" ref="F878">IF(D878="","",_xldudf_A_ENTICON(D878))</f>
        <v>#VALUE!</v>
      </c>
      <c r="H878" t="e" vm="332">
        <v>#VALUE!</v>
      </c>
    </row>
    <row r="879" spans="2:8" x14ac:dyDescent="0.25">
      <c r="B879" s="3"/>
      <c r="C879" t="e" cm="1">
        <f t="array" ref="C879">_xlfn.TEXTSPLIT(B879, """")</f>
        <v>#VALUE!</v>
      </c>
      <c r="F879" t="str" cm="1">
        <f t="array" ref="F879">IF(D879="","",_xldudf_A_ENTICON(D879))</f>
        <v/>
      </c>
      <c r="H879" t="e" vm="333">
        <v>#VALUE!</v>
      </c>
    </row>
    <row r="880" spans="2:8" x14ac:dyDescent="0.25">
      <c r="B880" s="3" t="s">
        <v>453</v>
      </c>
      <c r="C880" t="str" cm="1">
        <f t="array" ref="C880:E880">_xlfn.TEXTSPLIT(B880, """")</f>
        <v xml:space="preserve">surfaceEarbuds = </v>
      </c>
      <c r="D880" t="str">
        <v>SurfaceEarbuds</v>
      </c>
      <c r="E880" t="str">
        <v/>
      </c>
      <c r="F880" t="e" cm="1" vm="444">
        <f t="array" ref="F880">IF(D880="","",_xldudf_A_ENTICON(D880))</f>
        <v>#VALUE!</v>
      </c>
      <c r="H880" t="e" vm="334">
        <v>#VALUE!</v>
      </c>
    </row>
    <row r="881" spans="2:8" x14ac:dyDescent="0.25">
      <c r="B881" s="3"/>
      <c r="C881" t="e" cm="1">
        <f t="array" ref="C881">_xlfn.TEXTSPLIT(B881, """")</f>
        <v>#VALUE!</v>
      </c>
      <c r="F881" t="str" cm="1">
        <f t="array" ref="F881">IF(D881="","",_xldudf_A_ENTICON(D881))</f>
        <v/>
      </c>
      <c r="H881" t="e" vm="335">
        <v>#VALUE!</v>
      </c>
    </row>
    <row r="882" spans="2:8" x14ac:dyDescent="0.25">
      <c r="B882" s="3" t="s">
        <v>454</v>
      </c>
      <c r="C882" t="str" cm="1">
        <f t="array" ref="C882:E882">_xlfn.TEXTSPLIT(B882, """")</f>
        <v xml:space="preserve">surfaceHub = </v>
      </c>
      <c r="D882" t="str">
        <v>SurfaceHub</v>
      </c>
      <c r="E882" t="str">
        <v/>
      </c>
      <c r="F882" t="e" cm="1" vm="445">
        <f t="array" ref="F882">IF(D882="","",_xldudf_A_ENTICON(D882))</f>
        <v>#VALUE!</v>
      </c>
      <c r="H882" t="e" vm="336">
        <v>#VALUE!</v>
      </c>
    </row>
    <row r="883" spans="2:8" x14ac:dyDescent="0.25">
      <c r="B883" s="3"/>
      <c r="C883" t="e" cm="1">
        <f t="array" ref="C883">_xlfn.TEXTSPLIT(B883, """")</f>
        <v>#VALUE!</v>
      </c>
      <c r="F883" t="str" cm="1">
        <f t="array" ref="F883">IF(D883="","",_xldudf_A_ENTICON(D883))</f>
        <v/>
      </c>
      <c r="H883" t="e" vm="337">
        <v>#VALUE!</v>
      </c>
    </row>
    <row r="884" spans="2:8" x14ac:dyDescent="0.25">
      <c r="B884" s="3" t="s">
        <v>455</v>
      </c>
      <c r="C884" t="str" cm="1">
        <f t="array" ref="C884:E884">_xlfn.TEXTSPLIT(B884, """")</f>
        <v xml:space="preserve">symbols = </v>
      </c>
      <c r="D884" t="str">
        <v>Symbols</v>
      </c>
      <c r="E884" t="str">
        <v/>
      </c>
      <c r="F884" t="e" cm="1" vm="446">
        <f t="array" ref="F884">IF(D884="","",_xldudf_A_ENTICON(D884))</f>
        <v>#VALUE!</v>
      </c>
      <c r="H884" t="e" vm="338">
        <v>#VALUE!</v>
      </c>
    </row>
    <row r="885" spans="2:8" x14ac:dyDescent="0.25">
      <c r="B885" s="3"/>
      <c r="C885" t="e" cm="1">
        <f t="array" ref="C885">_xlfn.TEXTSPLIT(B885, """")</f>
        <v>#VALUE!</v>
      </c>
      <c r="F885" t="str" cm="1">
        <f t="array" ref="F885">IF(D885="","",_xldudf_A_ENTICON(D885))</f>
        <v/>
      </c>
      <c r="H885" t="e" vm="339">
        <v>#VALUE!</v>
      </c>
    </row>
    <row r="886" spans="2:8" x14ac:dyDescent="0.25">
      <c r="B886" s="3" t="s">
        <v>456</v>
      </c>
      <c r="C886" t="str" cm="1">
        <f t="array" ref="C886:E886">_xlfn.TEXTSPLIT(B886, """")</f>
        <v xml:space="preserve">syringe = </v>
      </c>
      <c r="D886" t="str">
        <v>Syringe</v>
      </c>
      <c r="E886" t="str">
        <v/>
      </c>
      <c r="F886" t="e" cm="1" vm="447">
        <f t="array" ref="F886">IF(D886="","",_xldudf_A_ENTICON(D886))</f>
        <v>#VALUE!</v>
      </c>
      <c r="H886" t="e" vm="340">
        <v>#VALUE!</v>
      </c>
    </row>
    <row r="887" spans="2:8" x14ac:dyDescent="0.25">
      <c r="B887" s="3"/>
      <c r="C887" t="e" cm="1">
        <f t="array" ref="C887">_xlfn.TEXTSPLIT(B887, """")</f>
        <v>#VALUE!</v>
      </c>
      <c r="F887" t="str" cm="1">
        <f t="array" ref="F887">IF(D887="","",_xldudf_A_ENTICON(D887))</f>
        <v/>
      </c>
      <c r="H887" t="e" vm="341">
        <v>#VALUE!</v>
      </c>
    </row>
    <row r="888" spans="2:8" x14ac:dyDescent="0.25">
      <c r="B888" s="3" t="s">
        <v>457</v>
      </c>
      <c r="C888" t="str" cm="1">
        <f t="array" ref="C888:E888">_xlfn.TEXTSPLIT(B888, """")</f>
        <v xml:space="preserve">system = </v>
      </c>
      <c r="D888" t="str">
        <v>System</v>
      </c>
      <c r="E888" t="str">
        <v/>
      </c>
      <c r="F888" t="e" cm="1" vm="448">
        <f t="array" ref="F888">IF(D888="","",_xldudf_A_ENTICON(D888))</f>
        <v>#VALUE!</v>
      </c>
      <c r="H888" t="e" vm="342">
        <v>#VALUE!</v>
      </c>
    </row>
    <row r="889" spans="2:8" x14ac:dyDescent="0.25">
      <c r="B889" s="3"/>
      <c r="C889" t="e" cm="1">
        <f t="array" ref="C889">_xlfn.TEXTSPLIT(B889, """")</f>
        <v>#VALUE!</v>
      </c>
      <c r="F889" t="str" cm="1">
        <f t="array" ref="F889">IF(D889="","",_xldudf_A_ENTICON(D889))</f>
        <v/>
      </c>
      <c r="H889" t="e" vm="343">
        <v>#VALUE!</v>
      </c>
    </row>
    <row r="890" spans="2:8" x14ac:dyDescent="0.25">
      <c r="B890" s="3" t="s">
        <v>458</v>
      </c>
      <c r="C890" t="str" cm="1">
        <f t="array" ref="C890:E890">_xlfn.TEXTSPLIT(B890, """")</f>
        <v xml:space="preserve">tabDesktop = </v>
      </c>
      <c r="D890" t="str">
        <v>TabDesktop</v>
      </c>
      <c r="E890" t="str">
        <v/>
      </c>
      <c r="F890" t="e" cm="1" vm="449">
        <f t="array" ref="F890">IF(D890="","",_xldudf_A_ENTICON(D890))</f>
        <v>#VALUE!</v>
      </c>
      <c r="H890" t="e" vm="344">
        <v>#VALUE!</v>
      </c>
    </row>
    <row r="891" spans="2:8" x14ac:dyDescent="0.25">
      <c r="B891" s="3"/>
      <c r="C891" t="e" cm="1">
        <f t="array" ref="C891">_xlfn.TEXTSPLIT(B891, """")</f>
        <v>#VALUE!</v>
      </c>
      <c r="F891" t="str" cm="1">
        <f t="array" ref="F891">IF(D891="","",_xldudf_A_ENTICON(D891))</f>
        <v/>
      </c>
      <c r="H891" t="e" vm="345">
        <v>#VALUE!</v>
      </c>
    </row>
    <row r="892" spans="2:8" x14ac:dyDescent="0.25">
      <c r="B892" s="3" t="s">
        <v>459</v>
      </c>
      <c r="C892" t="str" cm="1">
        <f t="array" ref="C892:E892">_xlfn.TEXTSPLIT(B892, """")</f>
        <v xml:space="preserve">tabInprivateAccount = </v>
      </c>
      <c r="D892" t="str">
        <v>TabInprivateAccount</v>
      </c>
      <c r="E892" t="str">
        <v/>
      </c>
      <c r="F892" t="e" cm="1" vm="450">
        <f t="array" ref="F892">IF(D892="","",_xldudf_A_ENTICON(D892))</f>
        <v>#VALUE!</v>
      </c>
      <c r="H892" t="e" vm="346">
        <v>#VALUE!</v>
      </c>
    </row>
    <row r="893" spans="2:8" x14ac:dyDescent="0.25">
      <c r="B893" s="3"/>
      <c r="C893" t="e" cm="1">
        <f t="array" ref="C893">_xlfn.TEXTSPLIT(B893, """")</f>
        <v>#VALUE!</v>
      </c>
      <c r="F893" t="str" cm="1">
        <f t="array" ref="F893">IF(D893="","",_xldudf_A_ENTICON(D893))</f>
        <v/>
      </c>
      <c r="H893" t="e" vm="347">
        <v>#VALUE!</v>
      </c>
    </row>
    <row r="894" spans="2:8" x14ac:dyDescent="0.25">
      <c r="B894" s="3" t="s">
        <v>460</v>
      </c>
      <c r="C894" t="str" cm="1">
        <f t="array" ref="C894:E894">_xlfn.TEXTSPLIT(B894, """")</f>
        <v xml:space="preserve">table = </v>
      </c>
      <c r="D894" t="str">
        <v>Table</v>
      </c>
      <c r="E894" t="str">
        <v/>
      </c>
      <c r="F894" t="e" cm="1" vm="451">
        <f t="array" ref="F894">IF(D894="","",_xldudf_A_ENTICON(D894))</f>
        <v>#VALUE!</v>
      </c>
      <c r="H894" t="e" vm="348">
        <v>#VALUE!</v>
      </c>
    </row>
    <row r="895" spans="2:8" x14ac:dyDescent="0.25">
      <c r="B895" s="3"/>
      <c r="C895" t="e" cm="1">
        <f t="array" ref="C895">_xlfn.TEXTSPLIT(B895, """")</f>
        <v>#VALUE!</v>
      </c>
      <c r="F895" t="str" cm="1">
        <f t="array" ref="F895">IF(D895="","",_xldudf_A_ENTICON(D895))</f>
        <v/>
      </c>
      <c r="H895" t="e" vm="349">
        <v>#VALUE!</v>
      </c>
    </row>
    <row r="896" spans="2:8" x14ac:dyDescent="0.25">
      <c r="B896" s="3" t="s">
        <v>461</v>
      </c>
      <c r="C896" t="str" cm="1">
        <f t="array" ref="C896:E896">_xlfn.TEXTSPLIT(B896, """")</f>
        <v xml:space="preserve">tableImage = </v>
      </c>
      <c r="D896" t="str">
        <v>TableImage</v>
      </c>
      <c r="E896" t="str">
        <v/>
      </c>
      <c r="F896" t="e" cm="1" vm="452">
        <f t="array" ref="F896">IF(D896="","",_xldudf_A_ENTICON(D896))</f>
        <v>#VALUE!</v>
      </c>
      <c r="H896" t="e" vm="350">
        <v>#VALUE!</v>
      </c>
    </row>
    <row r="897" spans="2:8" x14ac:dyDescent="0.25">
      <c r="B897" s="3"/>
      <c r="C897" t="e" cm="1">
        <f t="array" ref="C897">_xlfn.TEXTSPLIT(B897, """")</f>
        <v>#VALUE!</v>
      </c>
      <c r="F897" t="str" cm="1">
        <f t="array" ref="F897">IF(D897="","",_xldudf_A_ENTICON(D897))</f>
        <v/>
      </c>
      <c r="H897" t="e" vm="351">
        <v>#VALUE!</v>
      </c>
    </row>
    <row r="898" spans="2:8" x14ac:dyDescent="0.25">
      <c r="B898" s="3" t="s">
        <v>462</v>
      </c>
      <c r="C898" t="str" cm="1">
        <f t="array" ref="C898:E898">_xlfn.TEXTSPLIT(B898, """")</f>
        <v xml:space="preserve">tableMultiple = </v>
      </c>
      <c r="D898" t="str">
        <v>TableMultiple</v>
      </c>
      <c r="E898" t="str">
        <v/>
      </c>
      <c r="F898" t="e" cm="1" vm="453">
        <f t="array" ref="F898">IF(D898="","",_xldudf_A_ENTICON(D898))</f>
        <v>#VALUE!</v>
      </c>
      <c r="H898" t="e" vm="352">
        <v>#VALUE!</v>
      </c>
    </row>
    <row r="899" spans="2:8" x14ac:dyDescent="0.25">
      <c r="B899" s="3"/>
      <c r="C899" t="e" cm="1">
        <f t="array" ref="C899">_xlfn.TEXTSPLIT(B899, """")</f>
        <v>#VALUE!</v>
      </c>
      <c r="F899" t="str" cm="1">
        <f t="array" ref="F899">IF(D899="","",_xldudf_A_ENTICON(D899))</f>
        <v/>
      </c>
      <c r="H899" t="e" vm="353">
        <v>#VALUE!</v>
      </c>
    </row>
    <row r="900" spans="2:8" x14ac:dyDescent="0.25">
      <c r="B900" s="3" t="s">
        <v>463</v>
      </c>
      <c r="C900" t="str" cm="1">
        <f t="array" ref="C900:E900">_xlfn.TEXTSPLIT(B900, """")</f>
        <v xml:space="preserve">tablet = </v>
      </c>
      <c r="D900" t="str">
        <v>Tablet</v>
      </c>
      <c r="E900" t="str">
        <v/>
      </c>
      <c r="F900" t="e" cm="1" vm="454">
        <f t="array" ref="F900">IF(D900="","",_xldudf_A_ENTICON(D900))</f>
        <v>#VALUE!</v>
      </c>
      <c r="H900" t="e" vm="354">
        <v>#VALUE!</v>
      </c>
    </row>
    <row r="901" spans="2:8" x14ac:dyDescent="0.25">
      <c r="B901" s="3"/>
      <c r="C901" t="e" cm="1">
        <f t="array" ref="C901">_xlfn.TEXTSPLIT(B901, """")</f>
        <v>#VALUE!</v>
      </c>
      <c r="F901" t="str" cm="1">
        <f t="array" ref="F901">IF(D901="","",_xldudf_A_ENTICON(D901))</f>
        <v/>
      </c>
      <c r="H901" t="e" vm="355">
        <v>#VALUE!</v>
      </c>
    </row>
    <row r="902" spans="2:8" x14ac:dyDescent="0.25">
      <c r="B902" s="3" t="s">
        <v>464</v>
      </c>
      <c r="C902" t="str" cm="1">
        <f t="array" ref="C902:E902">_xlfn.TEXTSPLIT(B902, """")</f>
        <v xml:space="preserve">tabs = </v>
      </c>
      <c r="D902" t="str">
        <v>Tabs</v>
      </c>
      <c r="E902" t="str">
        <v/>
      </c>
      <c r="F902" t="e" cm="1" vm="455">
        <f t="array" ref="F902">IF(D902="","",_xldudf_A_ENTICON(D902))</f>
        <v>#VALUE!</v>
      </c>
      <c r="H902" t="e" vm="356">
        <v>#VALUE!</v>
      </c>
    </row>
    <row r="903" spans="2:8" x14ac:dyDescent="0.25">
      <c r="B903" s="3"/>
      <c r="C903" t="e" cm="1">
        <f t="array" ref="C903">_xlfn.TEXTSPLIT(B903, """")</f>
        <v>#VALUE!</v>
      </c>
      <c r="F903" t="str" cm="1">
        <f t="array" ref="F903">IF(D903="","",_xldudf_A_ENTICON(D903))</f>
        <v/>
      </c>
      <c r="H903" t="e" vm="357">
        <v>#VALUE!</v>
      </c>
    </row>
    <row r="904" spans="2:8" x14ac:dyDescent="0.25">
      <c r="B904" s="3" t="s">
        <v>465</v>
      </c>
      <c r="C904" t="str" cm="1">
        <f t="array" ref="C904:E904">_xlfn.TEXTSPLIT(B904, """")</f>
        <v xml:space="preserve">tag = </v>
      </c>
      <c r="D904" t="str">
        <v>Tag</v>
      </c>
      <c r="E904" t="str">
        <v/>
      </c>
      <c r="F904" t="e" cm="1" vm="456">
        <f t="array" ref="F904">IF(D904="","",_xldudf_A_ENTICON(D904))</f>
        <v>#VALUE!</v>
      </c>
      <c r="H904" t="e" vm="358">
        <v>#VALUE!</v>
      </c>
    </row>
    <row r="905" spans="2:8" x14ac:dyDescent="0.25">
      <c r="B905" s="3"/>
      <c r="C905" t="e" cm="1">
        <f t="array" ref="C905">_xlfn.TEXTSPLIT(B905, """")</f>
        <v>#VALUE!</v>
      </c>
      <c r="F905" t="str" cm="1">
        <f t="array" ref="F905">IF(D905="","",_xldudf_A_ENTICON(D905))</f>
        <v/>
      </c>
      <c r="H905" t="e" vm="359">
        <v>#VALUE!</v>
      </c>
    </row>
    <row r="906" spans="2:8" x14ac:dyDescent="0.25">
      <c r="B906" s="3" t="s">
        <v>466</v>
      </c>
      <c r="C906" t="str" cm="1">
        <f t="array" ref="C906:E906">_xlfn.TEXTSPLIT(B906, """")</f>
        <v xml:space="preserve">tagCircle = </v>
      </c>
      <c r="D906" t="str">
        <v>TagCircle</v>
      </c>
      <c r="E906" t="str">
        <v/>
      </c>
      <c r="F906" t="e" cm="1" vm="457">
        <f t="array" ref="F906">IF(D906="","",_xldudf_A_ENTICON(D906))</f>
        <v>#VALUE!</v>
      </c>
      <c r="H906" t="e" vm="360">
        <v>#VALUE!</v>
      </c>
    </row>
    <row r="907" spans="2:8" x14ac:dyDescent="0.25">
      <c r="B907" s="3"/>
      <c r="C907" t="e" cm="1">
        <f t="array" ref="C907">_xlfn.TEXTSPLIT(B907, """")</f>
        <v>#VALUE!</v>
      </c>
      <c r="F907" t="str" cm="1">
        <f t="array" ref="F907">IF(D907="","",_xldudf_A_ENTICON(D907))</f>
        <v/>
      </c>
      <c r="H907" t="e" vm="361">
        <v>#VALUE!</v>
      </c>
    </row>
    <row r="908" spans="2:8" x14ac:dyDescent="0.25">
      <c r="B908" s="3" t="s">
        <v>467</v>
      </c>
      <c r="C908" t="str" cm="1">
        <f t="array" ref="C908:E908">_xlfn.TEXTSPLIT(B908, """")</f>
        <v xml:space="preserve">tagMultiple = </v>
      </c>
      <c r="D908" t="str">
        <v>TagMultiple</v>
      </c>
      <c r="E908" t="str">
        <v/>
      </c>
      <c r="F908" t="e" cm="1" vm="458">
        <f t="array" ref="F908">IF(D908="","",_xldudf_A_ENTICON(D908))</f>
        <v>#VALUE!</v>
      </c>
      <c r="H908" t="e" vm="362">
        <v>#VALUE!</v>
      </c>
    </row>
    <row r="909" spans="2:8" x14ac:dyDescent="0.25">
      <c r="B909" s="3"/>
      <c r="C909" t="e" cm="1">
        <f t="array" ref="C909">_xlfn.TEXTSPLIT(B909, """")</f>
        <v>#VALUE!</v>
      </c>
      <c r="F909" t="str" cm="1">
        <f t="array" ref="F909">IF(D909="","",_xldudf_A_ENTICON(D909))</f>
        <v/>
      </c>
      <c r="H909" t="e" vm="363">
        <v>#VALUE!</v>
      </c>
    </row>
    <row r="910" spans="2:8" x14ac:dyDescent="0.25">
      <c r="B910" s="3" t="s">
        <v>468</v>
      </c>
      <c r="C910" t="str" cm="1">
        <f t="array" ref="C910:E910">_xlfn.TEXTSPLIT(B910, """")</f>
        <v xml:space="preserve">target = </v>
      </c>
      <c r="D910" t="str">
        <v>Target</v>
      </c>
      <c r="E910" t="str">
        <v/>
      </c>
      <c r="F910" t="e" cm="1" vm="459">
        <f t="array" ref="F910">IF(D910="","",_xldudf_A_ENTICON(D910))</f>
        <v>#VALUE!</v>
      </c>
      <c r="H910" t="e" vm="364">
        <v>#VALUE!</v>
      </c>
    </row>
    <row r="911" spans="2:8" x14ac:dyDescent="0.25">
      <c r="B911" s="3"/>
      <c r="C911" t="e" cm="1">
        <f t="array" ref="C911">_xlfn.TEXTSPLIT(B911, """")</f>
        <v>#VALUE!</v>
      </c>
      <c r="F911" t="str" cm="1">
        <f t="array" ref="F911">IF(D911="","",_xldudf_A_ENTICON(D911))</f>
        <v/>
      </c>
      <c r="H911" t="e" vm="365">
        <v>#VALUE!</v>
      </c>
    </row>
    <row r="912" spans="2:8" x14ac:dyDescent="0.25">
      <c r="B912" s="3" t="s">
        <v>469</v>
      </c>
      <c r="C912" t="str" cm="1">
        <f t="array" ref="C912:E912">_xlfn.TEXTSPLIT(B912, """")</f>
        <v xml:space="preserve">targetArrow = </v>
      </c>
      <c r="D912" t="str">
        <v>TargetArrow</v>
      </c>
      <c r="E912" t="str">
        <v/>
      </c>
      <c r="F912" t="e" cm="1" vm="460">
        <f t="array" ref="F912">IF(D912="","",_xldudf_A_ENTICON(D912))</f>
        <v>#VALUE!</v>
      </c>
      <c r="H912" t="e" vm="366">
        <v>#VALUE!</v>
      </c>
    </row>
    <row r="913" spans="2:8" x14ac:dyDescent="0.25">
      <c r="B913" s="3"/>
      <c r="C913" t="e" cm="1">
        <f t="array" ref="C913">_xlfn.TEXTSPLIT(B913, """")</f>
        <v>#VALUE!</v>
      </c>
      <c r="F913" t="str" cm="1">
        <f t="array" ref="F913">IF(D913="","",_xldudf_A_ENTICON(D913))</f>
        <v/>
      </c>
      <c r="H913" t="e" vm="367">
        <v>#VALUE!</v>
      </c>
    </row>
    <row r="914" spans="2:8" x14ac:dyDescent="0.25">
      <c r="B914" s="3" t="s">
        <v>470</v>
      </c>
      <c r="C914" t="str" cm="1">
        <f t="array" ref="C914:E914">_xlfn.TEXTSPLIT(B914, """")</f>
        <v xml:space="preserve">teddy = </v>
      </c>
      <c r="D914" t="str">
        <v>Teddy</v>
      </c>
      <c r="E914" t="str">
        <v/>
      </c>
      <c r="F914" t="e" cm="1" vm="461">
        <f t="array" ref="F914">IF(D914="","",_xldudf_A_ENTICON(D914))</f>
        <v>#VALUE!</v>
      </c>
      <c r="H914" t="e" vm="368">
        <v>#VALUE!</v>
      </c>
    </row>
    <row r="915" spans="2:8" x14ac:dyDescent="0.25">
      <c r="B915" s="3"/>
      <c r="C915" t="e" cm="1">
        <f t="array" ref="C915">_xlfn.TEXTSPLIT(B915, """")</f>
        <v>#VALUE!</v>
      </c>
      <c r="F915" t="str" cm="1">
        <f t="array" ref="F915">IF(D915="","",_xldudf_A_ENTICON(D915))</f>
        <v/>
      </c>
      <c r="H915" t="e" vm="369">
        <v>#VALUE!</v>
      </c>
    </row>
    <row r="916" spans="2:8" x14ac:dyDescent="0.25">
      <c r="B916" s="3" t="s">
        <v>471</v>
      </c>
      <c r="C916" t="str" cm="1">
        <f t="array" ref="C916:E916">_xlfn.TEXTSPLIT(B916, """")</f>
        <v xml:space="preserve">temperature = </v>
      </c>
      <c r="D916" t="str">
        <v>Temperature</v>
      </c>
      <c r="E916" t="str">
        <v/>
      </c>
      <c r="F916" t="e" cm="1" vm="462">
        <f t="array" ref="F916">IF(D916="","",_xldudf_A_ENTICON(D916))</f>
        <v>#VALUE!</v>
      </c>
      <c r="H916" t="e" vm="370">
        <v>#VALUE!</v>
      </c>
    </row>
    <row r="917" spans="2:8" x14ac:dyDescent="0.25">
      <c r="B917" s="3"/>
      <c r="C917" t="e" cm="1">
        <f t="array" ref="C917">_xlfn.TEXTSPLIT(B917, """")</f>
        <v>#VALUE!</v>
      </c>
      <c r="F917" t="str" cm="1">
        <f t="array" ref="F917">IF(D917="","",_xldudf_A_ENTICON(D917))</f>
        <v/>
      </c>
      <c r="H917" t="e" vm="371">
        <v>#VALUE!</v>
      </c>
    </row>
    <row r="918" spans="2:8" x14ac:dyDescent="0.25">
      <c r="B918" s="3" t="s">
        <v>472</v>
      </c>
      <c r="C918" t="str" cm="1">
        <f t="array" ref="C918:E918">_xlfn.TEXTSPLIT(B918, """")</f>
        <v xml:space="preserve">tent = </v>
      </c>
      <c r="D918" t="str">
        <v>Tent</v>
      </c>
      <c r="E918" t="str">
        <v/>
      </c>
      <c r="F918" t="e" cm="1" vm="463">
        <f t="array" ref="F918">IF(D918="","",_xldudf_A_ENTICON(D918))</f>
        <v>#VALUE!</v>
      </c>
      <c r="H918" t="e" vm="372">
        <v>#VALUE!</v>
      </c>
    </row>
    <row r="919" spans="2:8" x14ac:dyDescent="0.25">
      <c r="B919" s="3"/>
      <c r="C919" t="e" cm="1">
        <f t="array" ref="C919">_xlfn.TEXTSPLIT(B919, """")</f>
        <v>#VALUE!</v>
      </c>
      <c r="F919" t="str" cm="1">
        <f t="array" ref="F919">IF(D919="","",_xldudf_A_ENTICON(D919))</f>
        <v/>
      </c>
      <c r="H919" t="e" vm="373">
        <v>#VALUE!</v>
      </c>
    </row>
    <row r="920" spans="2:8" x14ac:dyDescent="0.25">
      <c r="B920" s="3" t="s">
        <v>473</v>
      </c>
      <c r="C920" t="str" cm="1">
        <f t="array" ref="C920:E920">_xlfn.TEXTSPLIT(B920, """")</f>
        <v xml:space="preserve">tetrisApp = </v>
      </c>
      <c r="D920" t="str">
        <v>TetrisApp</v>
      </c>
      <c r="E920" t="str">
        <v/>
      </c>
      <c r="F920" t="e" cm="1" vm="464">
        <f t="array" ref="F920">IF(D920="","",_xldudf_A_ENTICON(D920))</f>
        <v>#VALUE!</v>
      </c>
      <c r="H920" t="e" vm="374">
        <v>#VALUE!</v>
      </c>
    </row>
    <row r="921" spans="2:8" x14ac:dyDescent="0.25">
      <c r="B921" s="3"/>
      <c r="C921" t="e" cm="1">
        <f t="array" ref="C921">_xlfn.TEXTSPLIT(B921, """")</f>
        <v>#VALUE!</v>
      </c>
      <c r="F921" t="str" cm="1">
        <f t="array" ref="F921">IF(D921="","",_xldudf_A_ENTICON(D921))</f>
        <v/>
      </c>
      <c r="H921" t="e" vm="375">
        <v>#VALUE!</v>
      </c>
    </row>
    <row r="922" spans="2:8" x14ac:dyDescent="0.25">
      <c r="B922" s="3" t="s">
        <v>474</v>
      </c>
      <c r="C922" t="str" cm="1">
        <f t="array" ref="C922:E922">_xlfn.TEXTSPLIT(B922, """")</f>
        <v xml:space="preserve">textbox = </v>
      </c>
      <c r="D922" t="str">
        <v>Textbox</v>
      </c>
      <c r="E922" t="str">
        <v/>
      </c>
      <c r="F922" t="e" cm="1" vm="465">
        <f t="array" ref="F922">IF(D922="","",_xldudf_A_ENTICON(D922))</f>
        <v>#VALUE!</v>
      </c>
      <c r="H922" t="e" vm="376">
        <v>#VALUE!</v>
      </c>
    </row>
    <row r="923" spans="2:8" x14ac:dyDescent="0.25">
      <c r="B923" s="3"/>
      <c r="C923" t="e" cm="1">
        <f t="array" ref="C923">_xlfn.TEXTSPLIT(B923, """")</f>
        <v>#VALUE!</v>
      </c>
      <c r="F923" t="str" cm="1">
        <f t="array" ref="F923">IF(D923="","",_xldudf_A_ENTICON(D923))</f>
        <v/>
      </c>
      <c r="H923" t="e" vm="377">
        <v>#VALUE!</v>
      </c>
    </row>
    <row r="924" spans="2:8" x14ac:dyDescent="0.25">
      <c r="B924" s="3" t="s">
        <v>475</v>
      </c>
      <c r="C924" t="str" cm="1">
        <f t="array" ref="C924:E924">_xlfn.TEXTSPLIT(B924, """")</f>
        <v xml:space="preserve">textQuote = </v>
      </c>
      <c r="D924" t="str">
        <v>TextQuote</v>
      </c>
      <c r="E924" t="str">
        <v/>
      </c>
      <c r="F924" t="e" cm="1" vm="466">
        <f t="array" ref="F924">IF(D924="","",_xldudf_A_ENTICON(D924))</f>
        <v>#VALUE!</v>
      </c>
      <c r="H924" t="e" vm="378">
        <v>#VALUE!</v>
      </c>
    </row>
    <row r="925" spans="2:8" x14ac:dyDescent="0.25">
      <c r="B925" s="3"/>
      <c r="C925" t="e" cm="1">
        <f t="array" ref="C925">_xlfn.TEXTSPLIT(B925, """")</f>
        <v>#VALUE!</v>
      </c>
      <c r="F925" t="str" cm="1">
        <f t="array" ref="F925">IF(D925="","",_xldudf_A_ENTICON(D925))</f>
        <v/>
      </c>
      <c r="H925" t="e" vm="379">
        <v>#VALUE!</v>
      </c>
    </row>
    <row r="926" spans="2:8" x14ac:dyDescent="0.25">
      <c r="B926" s="3" t="s">
        <v>476</v>
      </c>
      <c r="C926" t="str" cm="1">
        <f t="array" ref="C926:E926">_xlfn.TEXTSPLIT(B926, """")</f>
        <v xml:space="preserve">thinking = </v>
      </c>
      <c r="D926" t="str">
        <v>Thinking</v>
      </c>
      <c r="E926" t="str">
        <v/>
      </c>
      <c r="F926" t="e" cm="1" vm="467">
        <f t="array" ref="F926">IF(D926="","",_xldudf_A_ENTICON(D926))</f>
        <v>#VALUE!</v>
      </c>
      <c r="H926" t="e" vm="380">
        <v>#VALUE!</v>
      </c>
    </row>
    <row r="927" spans="2:8" x14ac:dyDescent="0.25">
      <c r="B927" s="3"/>
      <c r="C927" t="e" cm="1">
        <f t="array" ref="C927">_xlfn.TEXTSPLIT(B927, """")</f>
        <v>#VALUE!</v>
      </c>
      <c r="F927" t="str" cm="1">
        <f t="array" ref="F927">IF(D927="","",_xldudf_A_ENTICON(D927))</f>
        <v/>
      </c>
      <c r="H927" t="e" vm="381">
        <v>#VALUE!</v>
      </c>
    </row>
    <row r="928" spans="2:8" x14ac:dyDescent="0.25">
      <c r="B928" s="3" t="s">
        <v>477</v>
      </c>
      <c r="C928" t="str" cm="1">
        <f t="array" ref="C928:E928">_xlfn.TEXTSPLIT(B928, """")</f>
        <v xml:space="preserve">thumbDislike = </v>
      </c>
      <c r="D928" t="str">
        <v>ThumbDislike</v>
      </c>
      <c r="E928" t="str">
        <v/>
      </c>
      <c r="F928" t="e" cm="1" vm="468">
        <f t="array" ref="F928">IF(D928="","",_xldudf_A_ENTICON(D928))</f>
        <v>#VALUE!</v>
      </c>
      <c r="H928" t="e" vm="382">
        <v>#VALUE!</v>
      </c>
    </row>
    <row r="929" spans="2:8" x14ac:dyDescent="0.25">
      <c r="B929" s="3"/>
      <c r="C929" t="e" cm="1">
        <f t="array" ref="C929">_xlfn.TEXTSPLIT(B929, """")</f>
        <v>#VALUE!</v>
      </c>
      <c r="F929" t="str" cm="1">
        <f t="array" ref="F929">IF(D929="","",_xldudf_A_ENTICON(D929))</f>
        <v/>
      </c>
      <c r="H929" t="e" vm="383">
        <v>#VALUE!</v>
      </c>
    </row>
    <row r="930" spans="2:8" x14ac:dyDescent="0.25">
      <c r="B930" s="3" t="s">
        <v>478</v>
      </c>
      <c r="C930" t="str" cm="1">
        <f t="array" ref="C930:E930">_xlfn.TEXTSPLIT(B930, """")</f>
        <v xml:space="preserve">thumbLike = </v>
      </c>
      <c r="D930" t="str">
        <v>ThumbLike</v>
      </c>
      <c r="E930" t="str">
        <v/>
      </c>
      <c r="F930" t="e" cm="1" vm="469">
        <f t="array" ref="F930">IF(D930="","",_xldudf_A_ENTICON(D930))</f>
        <v>#VALUE!</v>
      </c>
      <c r="H930" t="e" vm="384">
        <v>#VALUE!</v>
      </c>
    </row>
    <row r="931" spans="2:8" x14ac:dyDescent="0.25">
      <c r="B931" s="3"/>
      <c r="C931" t="e" cm="1">
        <f t="array" ref="C931">_xlfn.TEXTSPLIT(B931, """")</f>
        <v>#VALUE!</v>
      </c>
      <c r="F931" t="str" cm="1">
        <f t="array" ref="F931">IF(D931="","",_xldudf_A_ENTICON(D931))</f>
        <v/>
      </c>
      <c r="H931" t="e" vm="385">
        <v>#VALUE!</v>
      </c>
    </row>
    <row r="932" spans="2:8" x14ac:dyDescent="0.25">
      <c r="B932" s="3" t="s">
        <v>479</v>
      </c>
      <c r="C932" t="str" cm="1">
        <f t="array" ref="C932:E932">_xlfn.TEXTSPLIT(B932, """")</f>
        <v xml:space="preserve">ticketDiagonal = </v>
      </c>
      <c r="D932" t="str">
        <v>TicketDiagonal</v>
      </c>
      <c r="E932" t="str">
        <v/>
      </c>
      <c r="F932" t="e" cm="1" vm="470">
        <f t="array" ref="F932">IF(D932="","",_xldudf_A_ENTICON(D932))</f>
        <v>#VALUE!</v>
      </c>
      <c r="H932" t="e" vm="386">
        <v>#VALUE!</v>
      </c>
    </row>
    <row r="933" spans="2:8" x14ac:dyDescent="0.25">
      <c r="B933" s="3"/>
      <c r="C933" t="e" cm="1">
        <f t="array" ref="C933">_xlfn.TEXTSPLIT(B933, """")</f>
        <v>#VALUE!</v>
      </c>
      <c r="F933" t="str" cm="1">
        <f t="array" ref="F933">IF(D933="","",_xldudf_A_ENTICON(D933))</f>
        <v/>
      </c>
      <c r="H933" t="e" vm="387">
        <v>#VALUE!</v>
      </c>
    </row>
    <row r="934" spans="2:8" x14ac:dyDescent="0.25">
      <c r="B934" s="3" t="s">
        <v>480</v>
      </c>
      <c r="C934" t="str" cm="1">
        <f t="array" ref="C934:E934">_xlfn.TEXTSPLIT(B934, """")</f>
        <v xml:space="preserve">ticketHorizontal = </v>
      </c>
      <c r="D934" t="str">
        <v>TicketHorizontal</v>
      </c>
      <c r="E934" t="str">
        <v/>
      </c>
      <c r="F934" t="e" cm="1" vm="471">
        <f t="array" ref="F934">IF(D934="","",_xldudf_A_ENTICON(D934))</f>
        <v>#VALUE!</v>
      </c>
      <c r="H934" t="e" vm="388">
        <v>#VALUE!</v>
      </c>
    </row>
    <row r="935" spans="2:8" x14ac:dyDescent="0.25">
      <c r="B935" s="3"/>
      <c r="C935" t="e" cm="1">
        <f t="array" ref="C935">_xlfn.TEXTSPLIT(B935, """")</f>
        <v>#VALUE!</v>
      </c>
      <c r="F935" t="str" cm="1">
        <f t="array" ref="F935">IF(D935="","",_xldudf_A_ENTICON(D935))</f>
        <v/>
      </c>
      <c r="H935" t="e" vm="389">
        <v>#VALUE!</v>
      </c>
    </row>
    <row r="936" spans="2:8" x14ac:dyDescent="0.25">
      <c r="B936" s="3" t="s">
        <v>481</v>
      </c>
      <c r="C936" t="str" cm="1">
        <f t="array" ref="C936:E936">_xlfn.TEXTSPLIT(B936, """")</f>
        <v xml:space="preserve">timeAndWeather = </v>
      </c>
      <c r="D936" t="str">
        <v>TimeAndWeather</v>
      </c>
      <c r="E936" t="str">
        <v/>
      </c>
      <c r="F936" t="e" cm="1" vm="472">
        <f t="array" ref="F936">IF(D936="","",_xldudf_A_ENTICON(D936))</f>
        <v>#VALUE!</v>
      </c>
      <c r="H936" t="e" vm="390">
        <v>#VALUE!</v>
      </c>
    </row>
    <row r="937" spans="2:8" x14ac:dyDescent="0.25">
      <c r="B937" s="3"/>
      <c r="C937" t="e" cm="1">
        <f t="array" ref="C937">_xlfn.TEXTSPLIT(B937, """")</f>
        <v>#VALUE!</v>
      </c>
      <c r="F937" t="str" cm="1">
        <f t="array" ref="F937">IF(D937="","",_xldudf_A_ENTICON(D937))</f>
        <v/>
      </c>
      <c r="H937" t="e" vm="391">
        <v>#VALUE!</v>
      </c>
    </row>
    <row r="938" spans="2:8" x14ac:dyDescent="0.25">
      <c r="B938" s="3" t="s">
        <v>482</v>
      </c>
      <c r="C938" t="str" cm="1">
        <f t="array" ref="C938:E938">_xlfn.TEXTSPLIT(B938, """")</f>
        <v xml:space="preserve">timeline = </v>
      </c>
      <c r="D938" t="str">
        <v>Timeline</v>
      </c>
      <c r="E938" t="str">
        <v/>
      </c>
      <c r="F938" t="e" cm="1" vm="473">
        <f t="array" ref="F938">IF(D938="","",_xldudf_A_ENTICON(D938))</f>
        <v>#VALUE!</v>
      </c>
      <c r="H938" t="e" vm="392">
        <v>#VALUE!</v>
      </c>
    </row>
    <row r="939" spans="2:8" x14ac:dyDescent="0.25">
      <c r="B939" s="3"/>
      <c r="C939" t="e" cm="1">
        <f t="array" ref="C939">_xlfn.TEXTSPLIT(B939, """")</f>
        <v>#VALUE!</v>
      </c>
      <c r="F939" t="str" cm="1">
        <f t="array" ref="F939">IF(D939="","",_xldudf_A_ENTICON(D939))</f>
        <v/>
      </c>
      <c r="H939" t="e" vm="393">
        <v>#VALUE!</v>
      </c>
    </row>
    <row r="940" spans="2:8" x14ac:dyDescent="0.25">
      <c r="B940" s="3" t="s">
        <v>483</v>
      </c>
      <c r="C940" t="str" cm="1">
        <f t="array" ref="C940:E940">_xlfn.TEXTSPLIT(B940, """")</f>
        <v xml:space="preserve">timer = </v>
      </c>
      <c r="D940" t="str">
        <v>Timer</v>
      </c>
      <c r="E940" t="str">
        <v/>
      </c>
      <c r="F940" t="e" cm="1" vm="474">
        <f t="array" ref="F940">IF(D940="","",_xldudf_A_ENTICON(D940))</f>
        <v>#VALUE!</v>
      </c>
      <c r="H940" t="e" vm="394">
        <v>#VALUE!</v>
      </c>
    </row>
    <row r="941" spans="2:8" x14ac:dyDescent="0.25">
      <c r="B941" s="3"/>
      <c r="C941" t="e" cm="1">
        <f t="array" ref="C941">_xlfn.TEXTSPLIT(B941, """")</f>
        <v>#VALUE!</v>
      </c>
      <c r="F941" t="str" cm="1">
        <f t="array" ref="F941">IF(D941="","",_xldudf_A_ENTICON(D941))</f>
        <v/>
      </c>
      <c r="H941" t="e" vm="395">
        <v>#VALUE!</v>
      </c>
    </row>
    <row r="942" spans="2:8" x14ac:dyDescent="0.25">
      <c r="B942" s="3" t="s">
        <v>484</v>
      </c>
      <c r="C942" t="str" cm="1">
        <f t="array" ref="C942:E942">_xlfn.TEXTSPLIT(B942, """")</f>
        <v xml:space="preserve">toolbox = </v>
      </c>
      <c r="D942" t="str">
        <v>Toolbox</v>
      </c>
      <c r="E942" t="str">
        <v/>
      </c>
      <c r="F942" t="e" cm="1" vm="475">
        <f t="array" ref="F942">IF(D942="","",_xldudf_A_ENTICON(D942))</f>
        <v>#VALUE!</v>
      </c>
      <c r="H942" t="e" vm="396">
        <v>#VALUE!</v>
      </c>
    </row>
    <row r="943" spans="2:8" x14ac:dyDescent="0.25">
      <c r="B943" s="3"/>
      <c r="C943" t="e" cm="1">
        <f t="array" ref="C943">_xlfn.TEXTSPLIT(B943, """")</f>
        <v>#VALUE!</v>
      </c>
      <c r="F943" t="str" cm="1">
        <f t="array" ref="F943">IF(D943="","",_xldudf_A_ENTICON(D943))</f>
        <v/>
      </c>
      <c r="H943" t="e" vm="397">
        <v>#VALUE!</v>
      </c>
    </row>
    <row r="944" spans="2:8" x14ac:dyDescent="0.25">
      <c r="B944" s="3" t="s">
        <v>485</v>
      </c>
      <c r="C944" t="str" cm="1">
        <f t="array" ref="C944:E944">_xlfn.TEXTSPLIT(B944, """")</f>
        <v xml:space="preserve">topSpeed = </v>
      </c>
      <c r="D944" t="str">
        <v>TopSpeed</v>
      </c>
      <c r="E944" t="str">
        <v/>
      </c>
      <c r="F944" t="e" cm="1" vm="476">
        <f t="array" ref="F944">IF(D944="","",_xldudf_A_ENTICON(D944))</f>
        <v>#VALUE!</v>
      </c>
      <c r="H944" t="e" vm="398">
        <v>#VALUE!</v>
      </c>
    </row>
    <row r="945" spans="2:8" x14ac:dyDescent="0.25">
      <c r="B945" s="3"/>
      <c r="C945" t="e" cm="1">
        <f t="array" ref="C945">_xlfn.TEXTSPLIT(B945, """")</f>
        <v>#VALUE!</v>
      </c>
      <c r="F945" t="str" cm="1">
        <f t="array" ref="F945">IF(D945="","",_xldudf_A_ENTICON(D945))</f>
        <v/>
      </c>
      <c r="H945" t="e" vm="399">
        <v>#VALUE!</v>
      </c>
    </row>
    <row r="946" spans="2:8" x14ac:dyDescent="0.25">
      <c r="B946" s="3" t="s">
        <v>486</v>
      </c>
      <c r="C946" t="str" cm="1">
        <f t="array" ref="C946:E946">_xlfn.TEXTSPLIT(B946, """")</f>
        <v xml:space="preserve">translate = </v>
      </c>
      <c r="D946" t="str">
        <v>Translate</v>
      </c>
      <c r="E946" t="str">
        <v/>
      </c>
      <c r="F946" t="e" cm="1" vm="477">
        <f t="array" ref="F946">IF(D946="","",_xldudf_A_ENTICON(D946))</f>
        <v>#VALUE!</v>
      </c>
      <c r="H946" t="e" vm="400">
        <v>#VALUE!</v>
      </c>
    </row>
    <row r="947" spans="2:8" x14ac:dyDescent="0.25">
      <c r="B947" s="3"/>
      <c r="C947" t="e" cm="1">
        <f t="array" ref="C947">_xlfn.TEXTSPLIT(B947, """")</f>
        <v>#VALUE!</v>
      </c>
      <c r="F947" t="str" cm="1">
        <f t="array" ref="F947">IF(D947="","",_xldudf_A_ENTICON(D947))</f>
        <v/>
      </c>
      <c r="H947" t="e" vm="401">
        <v>#VALUE!</v>
      </c>
    </row>
    <row r="948" spans="2:8" x14ac:dyDescent="0.25">
      <c r="B948" s="3" t="s">
        <v>487</v>
      </c>
      <c r="C948" t="str" cm="1">
        <f t="array" ref="C948:E948">_xlfn.TEXTSPLIT(B948, """")</f>
        <v xml:space="preserve">transmission = </v>
      </c>
      <c r="D948" t="str">
        <v>Transmission</v>
      </c>
      <c r="E948" t="str">
        <v/>
      </c>
      <c r="F948" t="e" cm="1" vm="478">
        <f t="array" ref="F948">IF(D948="","",_xldudf_A_ENTICON(D948))</f>
        <v>#VALUE!</v>
      </c>
      <c r="H948" t="e" vm="402">
        <v>#VALUE!</v>
      </c>
    </row>
    <row r="949" spans="2:8" x14ac:dyDescent="0.25">
      <c r="B949" s="3"/>
      <c r="C949" t="e" cm="1">
        <f t="array" ref="C949">_xlfn.TEXTSPLIT(B949, """")</f>
        <v>#VALUE!</v>
      </c>
      <c r="F949" t="str" cm="1">
        <f t="array" ref="F949">IF(D949="","",_xldudf_A_ENTICON(D949))</f>
        <v/>
      </c>
      <c r="H949" t="e" vm="403">
        <v>#VALUE!</v>
      </c>
    </row>
    <row r="950" spans="2:8" x14ac:dyDescent="0.25">
      <c r="B950" s="3" t="s">
        <v>488</v>
      </c>
      <c r="C950" t="str" cm="1">
        <f t="array" ref="C950:E950">_xlfn.TEXTSPLIT(B950, """")</f>
        <v xml:space="preserve">treeDeciduous = </v>
      </c>
      <c r="D950" t="str">
        <v>TreeDeciduous</v>
      </c>
      <c r="E950" t="str">
        <v/>
      </c>
      <c r="F950" t="e" cm="1" vm="479">
        <f t="array" ref="F950">IF(D950="","",_xldudf_A_ENTICON(D950))</f>
        <v>#VALUE!</v>
      </c>
      <c r="H950" t="e" vm="404">
        <v>#VALUE!</v>
      </c>
    </row>
    <row r="951" spans="2:8" x14ac:dyDescent="0.25">
      <c r="B951" s="3"/>
      <c r="C951" t="e" cm="1">
        <f t="array" ref="C951">_xlfn.TEXTSPLIT(B951, """")</f>
        <v>#VALUE!</v>
      </c>
      <c r="F951" t="str" cm="1">
        <f t="array" ref="F951">IF(D951="","",_xldudf_A_ENTICON(D951))</f>
        <v/>
      </c>
      <c r="H951" t="e" vm="405">
        <v>#VALUE!</v>
      </c>
    </row>
    <row r="952" spans="2:8" x14ac:dyDescent="0.25">
      <c r="B952" s="3" t="s">
        <v>489</v>
      </c>
      <c r="C952" t="str" cm="1">
        <f t="array" ref="C952:E952">_xlfn.TEXTSPLIT(B952, """")</f>
        <v xml:space="preserve">treeEvergreen = </v>
      </c>
      <c r="D952" t="str">
        <v>TreeEvergreen</v>
      </c>
      <c r="E952" t="str">
        <v/>
      </c>
      <c r="F952" t="e" cm="1" vm="480">
        <f t="array" ref="F952">IF(D952="","",_xldudf_A_ENTICON(D952))</f>
        <v>#VALUE!</v>
      </c>
      <c r="H952" t="e" vm="406">
        <v>#VALUE!</v>
      </c>
    </row>
    <row r="953" spans="2:8" x14ac:dyDescent="0.25">
      <c r="B953" s="3"/>
      <c r="C953" t="e" cm="1">
        <f t="array" ref="C953">_xlfn.TEXTSPLIT(B953, """")</f>
        <v>#VALUE!</v>
      </c>
      <c r="F953" t="str" cm="1">
        <f t="array" ref="F953">IF(D953="","",_xldudf_A_ENTICON(D953))</f>
        <v/>
      </c>
      <c r="H953" t="e" vm="407">
        <v>#VALUE!</v>
      </c>
    </row>
    <row r="954" spans="2:8" x14ac:dyDescent="0.25">
      <c r="B954" s="3" t="s">
        <v>490</v>
      </c>
      <c r="C954" t="str" cm="1">
        <f t="array" ref="C954:E954">_xlfn.TEXTSPLIT(B954, """")</f>
        <v xml:space="preserve">trophy = </v>
      </c>
      <c r="D954" t="str">
        <v>Trophy</v>
      </c>
      <c r="E954" t="str">
        <v/>
      </c>
      <c r="F954" t="e" cm="1" vm="481">
        <f t="array" ref="F954">IF(D954="","",_xldudf_A_ENTICON(D954))</f>
        <v>#VALUE!</v>
      </c>
      <c r="H954" t="e" vm="408">
        <v>#VALUE!</v>
      </c>
    </row>
    <row r="955" spans="2:8" x14ac:dyDescent="0.25">
      <c r="B955" s="3"/>
      <c r="C955" t="e" cm="1">
        <f t="array" ref="C955">_xlfn.TEXTSPLIT(B955, """")</f>
        <v>#VALUE!</v>
      </c>
      <c r="F955" t="str" cm="1">
        <f t="array" ref="F955">IF(D955="","",_xldudf_A_ENTICON(D955))</f>
        <v/>
      </c>
      <c r="H955" t="e" vm="409">
        <v>#VALUE!</v>
      </c>
    </row>
    <row r="956" spans="2:8" x14ac:dyDescent="0.25">
      <c r="B956" s="3" t="s">
        <v>491</v>
      </c>
      <c r="C956" t="str" cm="1">
        <f t="array" ref="C956:E956">_xlfn.TEXTSPLIT(B956, """")</f>
        <v xml:space="preserve">tv = </v>
      </c>
      <c r="D956" t="str">
        <v>Tv</v>
      </c>
      <c r="E956" t="str">
        <v/>
      </c>
      <c r="F956" t="e" cm="1" vm="482">
        <f t="array" ref="F956">IF(D956="","",_xldudf_A_ENTICON(D956))</f>
        <v>#VALUE!</v>
      </c>
      <c r="H956" t="e" vm="410">
        <v>#VALUE!</v>
      </c>
    </row>
    <row r="957" spans="2:8" x14ac:dyDescent="0.25">
      <c r="B957" s="3"/>
      <c r="C957" t="e" cm="1">
        <f t="array" ref="C957">_xlfn.TEXTSPLIT(B957, """")</f>
        <v>#VALUE!</v>
      </c>
      <c r="F957" t="str" cm="1">
        <f t="array" ref="F957">IF(D957="","",_xldudf_A_ENTICON(D957))</f>
        <v/>
      </c>
      <c r="H957" t="e" vm="411">
        <v>#VALUE!</v>
      </c>
    </row>
    <row r="958" spans="2:8" x14ac:dyDescent="0.25">
      <c r="B958" s="3" t="s">
        <v>492</v>
      </c>
      <c r="C958" t="str" cm="1">
        <f t="array" ref="C958:E958">_xlfn.TEXTSPLIT(B958, """")</f>
        <v xml:space="preserve">tvUsb = </v>
      </c>
      <c r="D958" t="str">
        <v>TvUsb</v>
      </c>
      <c r="E958" t="str">
        <v/>
      </c>
      <c r="F958" t="e" cm="1" vm="483">
        <f t="array" ref="F958">IF(D958="","",_xldudf_A_ENTICON(D958))</f>
        <v>#VALUE!</v>
      </c>
      <c r="H958" t="e" vm="412">
        <v>#VALUE!</v>
      </c>
    </row>
    <row r="959" spans="2:8" x14ac:dyDescent="0.25">
      <c r="B959" s="3"/>
      <c r="C959" t="e" cm="1">
        <f t="array" ref="C959">_xlfn.TEXTSPLIT(B959, """")</f>
        <v>#VALUE!</v>
      </c>
      <c r="F959" t="str" cm="1">
        <f t="array" ref="F959">IF(D959="","",_xldudf_A_ENTICON(D959))</f>
        <v/>
      </c>
      <c r="H959" t="e" vm="413">
        <v>#VALUE!</v>
      </c>
    </row>
    <row r="960" spans="2:8" x14ac:dyDescent="0.25">
      <c r="B960" s="3" t="s">
        <v>493</v>
      </c>
      <c r="C960" t="str" cm="1">
        <f t="array" ref="C960:E960">_xlfn.TEXTSPLIT(B960, """")</f>
        <v xml:space="preserve">umbrella = </v>
      </c>
      <c r="D960" t="str">
        <v>Umbrella</v>
      </c>
      <c r="E960" t="str">
        <v/>
      </c>
      <c r="F960" t="e" cm="1" vm="484">
        <f t="array" ref="F960">IF(D960="","",_xldudf_A_ENTICON(D960))</f>
        <v>#VALUE!</v>
      </c>
      <c r="H960" t="e" vm="414">
        <v>#VALUE!</v>
      </c>
    </row>
    <row r="961" spans="2:8" x14ac:dyDescent="0.25">
      <c r="B961" s="3"/>
      <c r="C961" t="e" cm="1">
        <f t="array" ref="C961">_xlfn.TEXTSPLIT(B961, """")</f>
        <v>#VALUE!</v>
      </c>
      <c r="F961" t="str" cm="1">
        <f t="array" ref="F961">IF(D961="","",_xldudf_A_ENTICON(D961))</f>
        <v/>
      </c>
      <c r="H961" t="e" vm="415">
        <v>#VALUE!</v>
      </c>
    </row>
    <row r="962" spans="2:8" x14ac:dyDescent="0.25">
      <c r="B962" s="3" t="s">
        <v>494</v>
      </c>
      <c r="C962" t="str" cm="1">
        <f t="array" ref="C962:E962">_xlfn.TEXTSPLIT(B962, """")</f>
        <v xml:space="preserve">usbPlug = </v>
      </c>
      <c r="D962" t="str">
        <v>UsbPlug</v>
      </c>
      <c r="E962" t="str">
        <v/>
      </c>
      <c r="F962" t="e" cm="1" vm="485">
        <f t="array" ref="F962">IF(D962="","",_xldudf_A_ENTICON(D962))</f>
        <v>#VALUE!</v>
      </c>
      <c r="H962" t="e" vm="416">
        <v>#VALUE!</v>
      </c>
    </row>
    <row r="963" spans="2:8" x14ac:dyDescent="0.25">
      <c r="B963" s="3"/>
      <c r="C963" t="e" cm="1">
        <f t="array" ref="C963">_xlfn.TEXTSPLIT(B963, """")</f>
        <v>#VALUE!</v>
      </c>
      <c r="F963" t="str" cm="1">
        <f t="array" ref="F963">IF(D963="","",_xldudf_A_ENTICON(D963))</f>
        <v/>
      </c>
      <c r="H963" t="e" vm="417">
        <v>#VALUE!</v>
      </c>
    </row>
    <row r="964" spans="2:8" x14ac:dyDescent="0.25">
      <c r="B964" s="3" t="s">
        <v>495</v>
      </c>
      <c r="C964" t="str" cm="1">
        <f t="array" ref="C964:E964">_xlfn.TEXTSPLIT(B964, """")</f>
        <v xml:space="preserve">usbStick = </v>
      </c>
      <c r="D964" t="str">
        <v>UsbStick</v>
      </c>
      <c r="E964" t="str">
        <v/>
      </c>
      <c r="F964" t="e" cm="1" vm="486">
        <f t="array" ref="F964">IF(D964="","",_xldudf_A_ENTICON(D964))</f>
        <v>#VALUE!</v>
      </c>
      <c r="H964" t="e" vm="418">
        <v>#VALUE!</v>
      </c>
    </row>
    <row r="965" spans="2:8" x14ac:dyDescent="0.25">
      <c r="B965" s="3"/>
      <c r="C965" t="e" cm="1">
        <f t="array" ref="C965">_xlfn.TEXTSPLIT(B965, """")</f>
        <v>#VALUE!</v>
      </c>
      <c r="F965" t="str" cm="1">
        <f t="array" ref="F965">IF(D965="","",_xldudf_A_ENTICON(D965))</f>
        <v/>
      </c>
      <c r="H965" t="e" vm="419">
        <v>#VALUE!</v>
      </c>
    </row>
    <row r="966" spans="2:8" x14ac:dyDescent="0.25">
      <c r="B966" s="3" t="s">
        <v>496</v>
      </c>
      <c r="C966" t="str" cm="1">
        <f t="array" ref="C966:E966">_xlfn.TEXTSPLIT(B966, """")</f>
        <v xml:space="preserve">vault = </v>
      </c>
      <c r="D966" t="str">
        <v>Vault</v>
      </c>
      <c r="E966" t="str">
        <v/>
      </c>
      <c r="F966" t="e" cm="1" vm="487">
        <f t="array" ref="F966">IF(D966="","",_xldudf_A_ENTICON(D966))</f>
        <v>#VALUE!</v>
      </c>
      <c r="H966" t="e" vm="420">
        <v>#VALUE!</v>
      </c>
    </row>
    <row r="967" spans="2:8" x14ac:dyDescent="0.25">
      <c r="B967" s="3"/>
      <c r="C967" t="e" cm="1">
        <f t="array" ref="C967">_xlfn.TEXTSPLIT(B967, """")</f>
        <v>#VALUE!</v>
      </c>
      <c r="F967" t="str" cm="1">
        <f t="array" ref="F967">IF(D967="","",_xldudf_A_ENTICON(D967))</f>
        <v/>
      </c>
      <c r="H967" t="e" vm="421">
        <v>#VALUE!</v>
      </c>
    </row>
    <row r="968" spans="2:8" x14ac:dyDescent="0.25">
      <c r="B968" s="3" t="s">
        <v>497</v>
      </c>
      <c r="C968" t="str" cm="1">
        <f t="array" ref="C968:E968">_xlfn.TEXTSPLIT(B968, """")</f>
        <v xml:space="preserve">vehicleBicycle = </v>
      </c>
      <c r="D968" t="str">
        <v>VehicleBicycle</v>
      </c>
      <c r="E968" t="str">
        <v/>
      </c>
      <c r="F968" t="e" cm="1" vm="488">
        <f t="array" ref="F968">IF(D968="","",_xldudf_A_ENTICON(D968))</f>
        <v>#VALUE!</v>
      </c>
      <c r="H968" t="e" vm="422">
        <v>#VALUE!</v>
      </c>
    </row>
    <row r="969" spans="2:8" x14ac:dyDescent="0.25">
      <c r="B969" s="3"/>
      <c r="C969" t="e" cm="1">
        <f t="array" ref="C969">_xlfn.TEXTSPLIT(B969, """")</f>
        <v>#VALUE!</v>
      </c>
      <c r="F969" t="str" cm="1">
        <f t="array" ref="F969">IF(D969="","",_xldudf_A_ENTICON(D969))</f>
        <v/>
      </c>
      <c r="H969" t="e" vm="423">
        <v>#VALUE!</v>
      </c>
    </row>
    <row r="970" spans="2:8" x14ac:dyDescent="0.25">
      <c r="B970" s="3" t="s">
        <v>498</v>
      </c>
      <c r="C970" t="str" cm="1">
        <f t="array" ref="C970:E970">_xlfn.TEXTSPLIT(B970, """")</f>
        <v xml:space="preserve">vehicleBus = </v>
      </c>
      <c r="D970" t="str">
        <v>VehicleBus</v>
      </c>
      <c r="E970" t="str">
        <v/>
      </c>
      <c r="F970" t="e" cm="1" vm="489">
        <f t="array" ref="F970">IF(D970="","",_xldudf_A_ENTICON(D970))</f>
        <v>#VALUE!</v>
      </c>
      <c r="H970" t="e" vm="424">
        <v>#VALUE!</v>
      </c>
    </row>
    <row r="971" spans="2:8" x14ac:dyDescent="0.25">
      <c r="B971" s="3"/>
      <c r="C971" t="e" cm="1">
        <f t="array" ref="C971">_xlfn.TEXTSPLIT(B971, """")</f>
        <v>#VALUE!</v>
      </c>
      <c r="F971" t="str" cm="1">
        <f t="array" ref="F971">IF(D971="","",_xldudf_A_ENTICON(D971))</f>
        <v/>
      </c>
      <c r="H971" t="e" vm="425">
        <v>#VALUE!</v>
      </c>
    </row>
    <row r="972" spans="2:8" x14ac:dyDescent="0.25">
      <c r="B972" s="3" t="s">
        <v>499</v>
      </c>
      <c r="C972" t="str" cm="1">
        <f t="array" ref="C972:E972">_xlfn.TEXTSPLIT(B972, """")</f>
        <v xml:space="preserve">vehicleCab = </v>
      </c>
      <c r="D972" t="str">
        <v>VehicleCab</v>
      </c>
      <c r="E972" t="str">
        <v/>
      </c>
      <c r="F972" t="e" cm="1" vm="490">
        <f t="array" ref="F972">IF(D972="","",_xldudf_A_ENTICON(D972))</f>
        <v>#VALUE!</v>
      </c>
      <c r="H972" t="e" vm="426">
        <v>#VALUE!</v>
      </c>
    </row>
    <row r="973" spans="2:8" x14ac:dyDescent="0.25">
      <c r="B973" s="3"/>
      <c r="C973" t="e" cm="1">
        <f t="array" ref="C973">_xlfn.TEXTSPLIT(B973, """")</f>
        <v>#VALUE!</v>
      </c>
      <c r="F973" t="str" cm="1">
        <f t="array" ref="F973">IF(D973="","",_xldudf_A_ENTICON(D973))</f>
        <v/>
      </c>
      <c r="H973" t="e" vm="427">
        <v>#VALUE!</v>
      </c>
    </row>
    <row r="974" spans="2:8" x14ac:dyDescent="0.25">
      <c r="B974" s="3" t="s">
        <v>500</v>
      </c>
      <c r="C974" t="str" cm="1">
        <f t="array" ref="C974:E974">_xlfn.TEXTSPLIT(B974, """")</f>
        <v xml:space="preserve">vehicleCar = </v>
      </c>
      <c r="D974" t="str">
        <v>VehicleCar</v>
      </c>
      <c r="E974" t="str">
        <v/>
      </c>
      <c r="F974" t="e" cm="1" vm="491">
        <f t="array" ref="F974">IF(D974="","",_xldudf_A_ENTICON(D974))</f>
        <v>#VALUE!</v>
      </c>
      <c r="H974" t="e" vm="428">
        <v>#VALUE!</v>
      </c>
    </row>
    <row r="975" spans="2:8" x14ac:dyDescent="0.25">
      <c r="B975" s="3"/>
      <c r="C975" t="e" cm="1">
        <f t="array" ref="C975">_xlfn.TEXTSPLIT(B975, """")</f>
        <v>#VALUE!</v>
      </c>
      <c r="F975" t="str" cm="1">
        <f t="array" ref="F975">IF(D975="","",_xldudf_A_ENTICON(D975))</f>
        <v/>
      </c>
      <c r="H975" t="e" vm="429">
        <v>#VALUE!</v>
      </c>
    </row>
    <row r="976" spans="2:8" x14ac:dyDescent="0.25">
      <c r="B976" s="3" t="s">
        <v>501</v>
      </c>
      <c r="C976" t="str" cm="1">
        <f t="array" ref="C976:E976">_xlfn.TEXTSPLIT(B976, """")</f>
        <v xml:space="preserve">vehicleCarCollision = </v>
      </c>
      <c r="D976" t="str">
        <v>VehicleCarCollision</v>
      </c>
      <c r="E976" t="str">
        <v/>
      </c>
      <c r="F976" t="e" cm="1" vm="492">
        <f t="array" ref="F976">IF(D976="","",_xldudf_A_ENTICON(D976))</f>
        <v>#VALUE!</v>
      </c>
      <c r="H976" t="e" vm="430">
        <v>#VALUE!</v>
      </c>
    </row>
    <row r="977" spans="2:8" x14ac:dyDescent="0.25">
      <c r="B977" s="3"/>
      <c r="C977" t="e" cm="1">
        <f t="array" ref="C977">_xlfn.TEXTSPLIT(B977, """")</f>
        <v>#VALUE!</v>
      </c>
      <c r="F977" t="str" cm="1">
        <f t="array" ref="F977">IF(D977="","",_xldudf_A_ENTICON(D977))</f>
        <v/>
      </c>
      <c r="H977" t="e" vm="431">
        <v>#VALUE!</v>
      </c>
    </row>
    <row r="978" spans="2:8" x14ac:dyDescent="0.25">
      <c r="B978" s="3" t="s">
        <v>502</v>
      </c>
      <c r="C978" t="str" cm="1">
        <f t="array" ref="C978:E978">_xlfn.TEXTSPLIT(B978, """")</f>
        <v xml:space="preserve">vehicleCarProfileLtr = </v>
      </c>
      <c r="D978" t="str">
        <v>VehicleCarProfileLtr</v>
      </c>
      <c r="E978" t="str">
        <v/>
      </c>
      <c r="F978" t="e" cm="1" vm="493">
        <f t="array" ref="F978">IF(D978="","",_xldudf_A_ENTICON(D978))</f>
        <v>#VALUE!</v>
      </c>
      <c r="H978" t="e" vm="432">
        <v>#VALUE!</v>
      </c>
    </row>
    <row r="979" spans="2:8" x14ac:dyDescent="0.25">
      <c r="B979" s="3"/>
      <c r="C979" t="e" cm="1">
        <f t="array" ref="C979">_xlfn.TEXTSPLIT(B979, """")</f>
        <v>#VALUE!</v>
      </c>
      <c r="F979" t="str" cm="1">
        <f t="array" ref="F979">IF(D979="","",_xldudf_A_ENTICON(D979))</f>
        <v/>
      </c>
      <c r="H979" t="e" vm="433">
        <v>#VALUE!</v>
      </c>
    </row>
    <row r="980" spans="2:8" x14ac:dyDescent="0.25">
      <c r="B980" s="3" t="s">
        <v>503</v>
      </c>
      <c r="C980" t="str" cm="1">
        <f t="array" ref="C980:E980">_xlfn.TEXTSPLIT(B980, """")</f>
        <v xml:space="preserve">vehicleCarProfileRtl = </v>
      </c>
      <c r="D980" t="str">
        <v>VehicleCarProfileRtl</v>
      </c>
      <c r="E980" t="str">
        <v/>
      </c>
      <c r="F980" t="e" cm="1" vm="494">
        <f t="array" ref="F980">IF(D980="","",_xldudf_A_ENTICON(D980))</f>
        <v>#VALUE!</v>
      </c>
      <c r="H980" t="e" vm="434">
        <v>#VALUE!</v>
      </c>
    </row>
    <row r="981" spans="2:8" x14ac:dyDescent="0.25">
      <c r="B981" s="3"/>
      <c r="C981" t="e" cm="1">
        <f t="array" ref="C981">_xlfn.TEXTSPLIT(B981, """")</f>
        <v>#VALUE!</v>
      </c>
      <c r="F981" t="str" cm="1">
        <f t="array" ref="F981">IF(D981="","",_xldudf_A_ENTICON(D981))</f>
        <v/>
      </c>
      <c r="H981" t="e" vm="435">
        <v>#VALUE!</v>
      </c>
    </row>
    <row r="982" spans="2:8" x14ac:dyDescent="0.25">
      <c r="B982" s="3" t="s">
        <v>504</v>
      </c>
      <c r="C982" t="str" cm="1">
        <f t="array" ref="C982:E982">_xlfn.TEXTSPLIT(B982, """")</f>
        <v xml:space="preserve">vehicleShip = </v>
      </c>
      <c r="D982" t="str">
        <v>VehicleShip</v>
      </c>
      <c r="E982" t="str">
        <v/>
      </c>
      <c r="F982" t="e" cm="1" vm="495">
        <f t="array" ref="F982">IF(D982="","",_xldudf_A_ENTICON(D982))</f>
        <v>#VALUE!</v>
      </c>
      <c r="H982" t="e" vm="436">
        <v>#VALUE!</v>
      </c>
    </row>
    <row r="983" spans="2:8" x14ac:dyDescent="0.25">
      <c r="B983" s="3"/>
      <c r="C983" t="e" cm="1">
        <f t="array" ref="C983">_xlfn.TEXTSPLIT(B983, """")</f>
        <v>#VALUE!</v>
      </c>
      <c r="F983" t="str" cm="1">
        <f t="array" ref="F983">IF(D983="","",_xldudf_A_ENTICON(D983))</f>
        <v/>
      </c>
      <c r="H983" t="e" vm="437">
        <v>#VALUE!</v>
      </c>
    </row>
    <row r="984" spans="2:8" x14ac:dyDescent="0.25">
      <c r="B984" s="3" t="s">
        <v>505</v>
      </c>
      <c r="C984" t="str" cm="1">
        <f t="array" ref="C984:E984">_xlfn.TEXTSPLIT(B984, """")</f>
        <v xml:space="preserve">vehicleSubway = </v>
      </c>
      <c r="D984" t="str">
        <v>VehicleSubway</v>
      </c>
      <c r="E984" t="str">
        <v/>
      </c>
      <c r="F984" t="e" cm="1" vm="496">
        <f t="array" ref="F984">IF(D984="","",_xldudf_A_ENTICON(D984))</f>
        <v>#VALUE!</v>
      </c>
      <c r="H984" t="e" vm="438">
        <v>#VALUE!</v>
      </c>
    </row>
    <row r="985" spans="2:8" x14ac:dyDescent="0.25">
      <c r="B985" s="3"/>
      <c r="C985" t="e" cm="1">
        <f t="array" ref="C985">_xlfn.TEXTSPLIT(B985, """")</f>
        <v>#VALUE!</v>
      </c>
      <c r="F985" t="str" cm="1">
        <f t="array" ref="F985">IF(D985="","",_xldudf_A_ENTICON(D985))</f>
        <v/>
      </c>
      <c r="H985" t="e" vm="439">
        <v>#VALUE!</v>
      </c>
    </row>
    <row r="986" spans="2:8" x14ac:dyDescent="0.25">
      <c r="B986" s="3" t="s">
        <v>506</v>
      </c>
      <c r="C986" t="str" cm="1">
        <f t="array" ref="C986:E986">_xlfn.TEXTSPLIT(B986, """")</f>
        <v xml:space="preserve">vehicleTruck = </v>
      </c>
      <c r="D986" t="str">
        <v>VehicleTruck</v>
      </c>
      <c r="E986" t="str">
        <v/>
      </c>
      <c r="F986" t="e" cm="1" vm="497">
        <f t="array" ref="F986">IF(D986="","",_xldudf_A_ENTICON(D986))</f>
        <v>#VALUE!</v>
      </c>
      <c r="H986" t="e" vm="440">
        <v>#VALUE!</v>
      </c>
    </row>
    <row r="987" spans="2:8" x14ac:dyDescent="0.25">
      <c r="B987" s="3"/>
      <c r="C987" t="e" cm="1">
        <f t="array" ref="C987">_xlfn.TEXTSPLIT(B987, """")</f>
        <v>#VALUE!</v>
      </c>
      <c r="F987" t="str" cm="1">
        <f t="array" ref="F987">IF(D987="","",_xldudf_A_ENTICON(D987))</f>
        <v/>
      </c>
      <c r="H987" t="e" vm="441">
        <v>#VALUE!</v>
      </c>
    </row>
    <row r="988" spans="2:8" x14ac:dyDescent="0.25">
      <c r="B988" s="3" t="s">
        <v>507</v>
      </c>
      <c r="C988" t="str" cm="1">
        <f t="array" ref="C988:E988">_xlfn.TEXTSPLIT(B988, """")</f>
        <v xml:space="preserve">vehicleTruckBag = </v>
      </c>
      <c r="D988" t="str">
        <v>VehicleTruckBag</v>
      </c>
      <c r="E988" t="str">
        <v/>
      </c>
      <c r="F988" t="e" cm="1" vm="498">
        <f t="array" ref="F988">IF(D988="","",_xldudf_A_ENTICON(D988))</f>
        <v>#VALUE!</v>
      </c>
      <c r="H988" t="e" vm="442">
        <v>#VALUE!</v>
      </c>
    </row>
    <row r="989" spans="2:8" x14ac:dyDescent="0.25">
      <c r="B989" s="3"/>
      <c r="C989" t="e" cm="1">
        <f t="array" ref="C989">_xlfn.TEXTSPLIT(B989, """")</f>
        <v>#VALUE!</v>
      </c>
      <c r="F989" t="str" cm="1">
        <f t="array" ref="F989">IF(D989="","",_xldudf_A_ENTICON(D989))</f>
        <v/>
      </c>
      <c r="H989" t="e" vm="443">
        <v>#VALUE!</v>
      </c>
    </row>
    <row r="990" spans="2:8" x14ac:dyDescent="0.25">
      <c r="B990" s="3" t="s">
        <v>508</v>
      </c>
      <c r="C990" t="str" cm="1">
        <f t="array" ref="C990:E990">_xlfn.TEXTSPLIT(B990, """")</f>
        <v xml:space="preserve">vehicleTruckCube = </v>
      </c>
      <c r="D990" t="str">
        <v>VehicleTruckCube</v>
      </c>
      <c r="E990" t="str">
        <v/>
      </c>
      <c r="F990" t="e" cm="1" vm="499">
        <f t="array" ref="F990">IF(D990="","",_xldudf_A_ENTICON(D990))</f>
        <v>#VALUE!</v>
      </c>
      <c r="H990" t="e" vm="444">
        <v>#VALUE!</v>
      </c>
    </row>
    <row r="991" spans="2:8" x14ac:dyDescent="0.25">
      <c r="B991" s="3"/>
      <c r="C991" t="e" cm="1">
        <f t="array" ref="C991">_xlfn.TEXTSPLIT(B991, """")</f>
        <v>#VALUE!</v>
      </c>
      <c r="F991" t="str" cm="1">
        <f t="array" ref="F991">IF(D991="","",_xldudf_A_ENTICON(D991))</f>
        <v/>
      </c>
      <c r="H991" t="e" vm="445">
        <v>#VALUE!</v>
      </c>
    </row>
    <row r="992" spans="2:8" x14ac:dyDescent="0.25">
      <c r="B992" s="3" t="s">
        <v>509</v>
      </c>
      <c r="C992" t="str" cm="1">
        <f t="array" ref="C992:E992">_xlfn.TEXTSPLIT(B992, """")</f>
        <v xml:space="preserve">vehicleTruckProfile = </v>
      </c>
      <c r="D992" t="str">
        <v>VehicleTruckProfile</v>
      </c>
      <c r="E992" t="str">
        <v/>
      </c>
      <c r="F992" t="e" cm="1" vm="500">
        <f t="array" ref="F992">IF(D992="","",_xldudf_A_ENTICON(D992))</f>
        <v>#VALUE!</v>
      </c>
      <c r="H992" t="e" vm="446">
        <v>#VALUE!</v>
      </c>
    </row>
    <row r="993" spans="2:8" x14ac:dyDescent="0.25">
      <c r="B993" s="3"/>
      <c r="C993" t="e" cm="1">
        <f t="array" ref="C993">_xlfn.TEXTSPLIT(B993, """")</f>
        <v>#VALUE!</v>
      </c>
      <c r="F993" t="str" cm="1">
        <f t="array" ref="F993">IF(D993="","",_xldudf_A_ENTICON(D993))</f>
        <v/>
      </c>
      <c r="H993" t="e" vm="447">
        <v>#VALUE!</v>
      </c>
    </row>
    <row r="994" spans="2:8" x14ac:dyDescent="0.25">
      <c r="B994" s="3" t="s">
        <v>510</v>
      </c>
      <c r="C994" t="str" cm="1">
        <f t="array" ref="C994:E994">_xlfn.TEXTSPLIT(B994, """")</f>
        <v xml:space="preserve">video = </v>
      </c>
      <c r="D994" t="str">
        <v>Video</v>
      </c>
      <c r="E994" t="str">
        <v/>
      </c>
      <c r="F994" t="e" cm="1" vm="501">
        <f t="array" ref="F994">IF(D994="","",_xldudf_A_ENTICON(D994))</f>
        <v>#VALUE!</v>
      </c>
      <c r="H994" t="e" vm="448">
        <v>#VALUE!</v>
      </c>
    </row>
    <row r="995" spans="2:8" x14ac:dyDescent="0.25">
      <c r="B995" s="3"/>
      <c r="C995" t="e" cm="1">
        <f t="array" ref="C995">_xlfn.TEXTSPLIT(B995, """")</f>
        <v>#VALUE!</v>
      </c>
      <c r="F995" t="str" cm="1">
        <f t="array" ref="F995">IF(D995="","",_xldudf_A_ENTICON(D995))</f>
        <v/>
      </c>
      <c r="H995" t="e" vm="449">
        <v>#VALUE!</v>
      </c>
    </row>
    <row r="996" spans="2:8" x14ac:dyDescent="0.25">
      <c r="B996" s="3" t="s">
        <v>511</v>
      </c>
      <c r="C996" t="str" cm="1">
        <f t="array" ref="C996:E996">_xlfn.TEXTSPLIT(B996, """")</f>
        <v xml:space="preserve">video360 = </v>
      </c>
      <c r="D996" t="str">
        <v>Video360</v>
      </c>
      <c r="E996" t="str">
        <v/>
      </c>
      <c r="F996" t="e" cm="1" vm="502">
        <f t="array" ref="F996">IF(D996="","",_xldudf_A_ENTICON(D996))</f>
        <v>#VALUE!</v>
      </c>
      <c r="H996" t="e" vm="450">
        <v>#VALUE!</v>
      </c>
    </row>
    <row r="997" spans="2:8" x14ac:dyDescent="0.25">
      <c r="B997" s="3"/>
      <c r="C997" t="e" cm="1">
        <f t="array" ref="C997">_xlfn.TEXTSPLIT(B997, """")</f>
        <v>#VALUE!</v>
      </c>
      <c r="F997" t="str" cm="1">
        <f t="array" ref="F997">IF(D997="","",_xldudf_A_ENTICON(D997))</f>
        <v/>
      </c>
      <c r="H997" t="e" vm="451">
        <v>#VALUE!</v>
      </c>
    </row>
    <row r="998" spans="2:8" x14ac:dyDescent="0.25">
      <c r="B998" s="3" t="s">
        <v>512</v>
      </c>
      <c r="C998" t="str" cm="1">
        <f t="array" ref="C998:E998">_xlfn.TEXTSPLIT(B998, """")</f>
        <v xml:space="preserve">videoChat = </v>
      </c>
      <c r="D998" t="str">
        <v>VideoChat</v>
      </c>
      <c r="E998" t="str">
        <v/>
      </c>
      <c r="F998" t="e" cm="1" vm="503">
        <f t="array" ref="F998">IF(D998="","",_xldudf_A_ENTICON(D998))</f>
        <v>#VALUE!</v>
      </c>
      <c r="H998" t="e" vm="452">
        <v>#VALUE!</v>
      </c>
    </row>
    <row r="999" spans="2:8" x14ac:dyDescent="0.25">
      <c r="B999" s="3"/>
      <c r="C999" t="e" cm="1">
        <f t="array" ref="C999">_xlfn.TEXTSPLIT(B999, """")</f>
        <v>#VALUE!</v>
      </c>
      <c r="F999" t="str" cm="1">
        <f t="array" ref="F999">IF(D999="","",_xldudf_A_ENTICON(D999))</f>
        <v/>
      </c>
      <c r="H999" t="e" vm="453">
        <v>#VALUE!</v>
      </c>
    </row>
    <row r="1000" spans="2:8" x14ac:dyDescent="0.25">
      <c r="B1000" s="3" t="s">
        <v>513</v>
      </c>
      <c r="C1000" t="str" cm="1">
        <f t="array" ref="C1000:E1000">_xlfn.TEXTSPLIT(B1000, """")</f>
        <v xml:space="preserve">videoClip = </v>
      </c>
      <c r="D1000" t="str">
        <v>VideoClip</v>
      </c>
      <c r="E1000" t="str">
        <v/>
      </c>
      <c r="F1000" t="e" cm="1" vm="504">
        <f t="array" ref="F1000">IF(D1000="","",_xldudf_A_ENTICON(D1000))</f>
        <v>#VALUE!</v>
      </c>
      <c r="H1000" t="e" vm="454">
        <v>#VALUE!</v>
      </c>
    </row>
    <row r="1001" spans="2:8" x14ac:dyDescent="0.25">
      <c r="B1001" s="3"/>
      <c r="C1001" t="e" cm="1">
        <f t="array" ref="C1001">_xlfn.TEXTSPLIT(B1001, """")</f>
        <v>#VALUE!</v>
      </c>
      <c r="F1001" t="str" cm="1">
        <f t="array" ref="F1001">IF(D1001="","",_xldudf_A_ENTICON(D1001))</f>
        <v/>
      </c>
      <c r="H1001" t="e" vm="455">
        <v>#VALUE!</v>
      </c>
    </row>
    <row r="1002" spans="2:8" x14ac:dyDescent="0.25">
      <c r="B1002" s="3" t="s">
        <v>514</v>
      </c>
      <c r="C1002" t="str" cm="1">
        <f t="array" ref="C1002:E1002">_xlfn.TEXTSPLIT(B1002, """")</f>
        <v xml:space="preserve">videoClipMultiple = </v>
      </c>
      <c r="D1002" t="str">
        <v>VideoClipMultiple</v>
      </c>
      <c r="E1002" t="str">
        <v/>
      </c>
      <c r="F1002" t="e" cm="1" vm="505">
        <f t="array" ref="F1002">IF(D1002="","",_xldudf_A_ENTICON(D1002))</f>
        <v>#VALUE!</v>
      </c>
      <c r="H1002" t="e" vm="456">
        <v>#VALUE!</v>
      </c>
    </row>
    <row r="1003" spans="2:8" x14ac:dyDescent="0.25">
      <c r="B1003" s="3"/>
      <c r="C1003" t="e" cm="1">
        <f t="array" ref="C1003">_xlfn.TEXTSPLIT(B1003, """")</f>
        <v>#VALUE!</v>
      </c>
      <c r="F1003" t="str" cm="1">
        <f t="array" ref="F1003">IF(D1003="","",_xldudf_A_ENTICON(D1003))</f>
        <v/>
      </c>
      <c r="H1003" t="e" vm="457">
        <v>#VALUE!</v>
      </c>
    </row>
    <row r="1004" spans="2:8" x14ac:dyDescent="0.25">
      <c r="B1004" s="3" t="s">
        <v>515</v>
      </c>
      <c r="C1004" t="str" cm="1">
        <f t="array" ref="C1004:E1004">_xlfn.TEXTSPLIT(B1004, """")</f>
        <v xml:space="preserve">videoPerson = </v>
      </c>
      <c r="D1004" t="str">
        <v>VideoPerson</v>
      </c>
      <c r="E1004" t="str">
        <v/>
      </c>
      <c r="F1004" t="e" cm="1" vm="506">
        <f t="array" ref="F1004">IF(D1004="","",_xldudf_A_ENTICON(D1004))</f>
        <v>#VALUE!</v>
      </c>
      <c r="H1004" t="e" vm="458">
        <v>#VALUE!</v>
      </c>
    </row>
    <row r="1005" spans="2:8" x14ac:dyDescent="0.25">
      <c r="B1005" s="3"/>
      <c r="C1005" t="e" cm="1">
        <f t="array" ref="C1005">_xlfn.TEXTSPLIT(B1005, """")</f>
        <v>#VALUE!</v>
      </c>
      <c r="F1005" t="str" cm="1">
        <f t="array" ref="F1005">IF(D1005="","",_xldudf_A_ENTICON(D1005))</f>
        <v/>
      </c>
      <c r="H1005" t="e" vm="459">
        <v>#VALUE!</v>
      </c>
    </row>
    <row r="1006" spans="2:8" x14ac:dyDescent="0.25">
      <c r="B1006" s="3" t="s">
        <v>516</v>
      </c>
      <c r="C1006" t="str" cm="1">
        <f t="array" ref="C1006:E1006">_xlfn.TEXTSPLIT(B1006, """")</f>
        <v xml:space="preserve">videoRecording = </v>
      </c>
      <c r="D1006" t="str">
        <v>VideoRecording</v>
      </c>
      <c r="E1006" t="str">
        <v/>
      </c>
      <c r="F1006" t="e" cm="1" vm="507">
        <f t="array" ref="F1006">IF(D1006="","",_xldudf_A_ENTICON(D1006))</f>
        <v>#VALUE!</v>
      </c>
      <c r="H1006" t="e" vm="460">
        <v>#VALUE!</v>
      </c>
    </row>
    <row r="1007" spans="2:8" x14ac:dyDescent="0.25">
      <c r="B1007" s="3"/>
      <c r="C1007" t="e" cm="1">
        <f t="array" ref="C1007">_xlfn.TEXTSPLIT(B1007, """")</f>
        <v>#VALUE!</v>
      </c>
      <c r="F1007" t="str" cm="1">
        <f t="array" ref="F1007">IF(D1007="","",_xldudf_A_ENTICON(D1007))</f>
        <v/>
      </c>
      <c r="H1007" t="e" vm="461">
        <v>#VALUE!</v>
      </c>
    </row>
    <row r="1008" spans="2:8" x14ac:dyDescent="0.25">
      <c r="B1008" s="3" t="s">
        <v>517</v>
      </c>
      <c r="C1008" t="str" cm="1">
        <f t="array" ref="C1008:E1008">_xlfn.TEXTSPLIT(B1008, """")</f>
        <v xml:space="preserve">videoSecurity = </v>
      </c>
      <c r="D1008" t="str">
        <v>VideoSecurity</v>
      </c>
      <c r="E1008" t="str">
        <v/>
      </c>
      <c r="F1008" t="e" cm="1" vm="508">
        <f t="array" ref="F1008">IF(D1008="","",_xldudf_A_ENTICON(D1008))</f>
        <v>#VALUE!</v>
      </c>
      <c r="H1008" t="e" vm="462">
        <v>#VALUE!</v>
      </c>
    </row>
    <row r="1009" spans="2:8" x14ac:dyDescent="0.25">
      <c r="B1009" s="3"/>
      <c r="C1009" t="e" cm="1">
        <f t="array" ref="C1009">_xlfn.TEXTSPLIT(B1009, """")</f>
        <v>#VALUE!</v>
      </c>
      <c r="F1009" t="str" cm="1">
        <f t="array" ref="F1009">IF(D1009="","",_xldudf_A_ENTICON(D1009))</f>
        <v/>
      </c>
      <c r="H1009" t="e" vm="463">
        <v>#VALUE!</v>
      </c>
    </row>
    <row r="1010" spans="2:8" x14ac:dyDescent="0.25">
      <c r="B1010" s="3" t="s">
        <v>518</v>
      </c>
      <c r="C1010" t="str" cm="1">
        <f t="array" ref="C1010:E1010">_xlfn.TEXTSPLIT(B1010, """")</f>
        <v xml:space="preserve">viewDesktop = </v>
      </c>
      <c r="D1010" t="str">
        <v>ViewDesktop</v>
      </c>
      <c r="E1010" t="str">
        <v/>
      </c>
      <c r="F1010" t="e" cm="1" vm="509">
        <f t="array" ref="F1010">IF(D1010="","",_xldudf_A_ENTICON(D1010))</f>
        <v>#VALUE!</v>
      </c>
      <c r="H1010" t="e" vm="464">
        <v>#VALUE!</v>
      </c>
    </row>
    <row r="1011" spans="2:8" x14ac:dyDescent="0.25">
      <c r="B1011" s="3"/>
      <c r="C1011" t="e" cm="1">
        <f t="array" ref="C1011">_xlfn.TEXTSPLIT(B1011, """")</f>
        <v>#VALUE!</v>
      </c>
      <c r="F1011" t="str" cm="1">
        <f t="array" ref="F1011">IF(D1011="","",_xldudf_A_ENTICON(D1011))</f>
        <v/>
      </c>
      <c r="H1011" t="e" vm="465">
        <v>#VALUE!</v>
      </c>
    </row>
    <row r="1012" spans="2:8" x14ac:dyDescent="0.25">
      <c r="B1012" s="3" t="s">
        <v>519</v>
      </c>
      <c r="C1012" t="str" cm="1">
        <f t="array" ref="C1012:E1012">_xlfn.TEXTSPLIT(B1012, """")</f>
        <v xml:space="preserve">viewDesktopMobile = </v>
      </c>
      <c r="D1012" t="str">
        <v>ViewDesktopMobile</v>
      </c>
      <c r="E1012" t="str">
        <v/>
      </c>
      <c r="F1012" t="e" cm="1" vm="510">
        <f t="array" ref="F1012">IF(D1012="","",_xldudf_A_ENTICON(D1012))</f>
        <v>#VALUE!</v>
      </c>
      <c r="H1012" t="e" vm="466">
        <v>#VALUE!</v>
      </c>
    </row>
    <row r="1013" spans="2:8" x14ac:dyDescent="0.25">
      <c r="B1013" s="3"/>
      <c r="C1013" t="e" cm="1">
        <f t="array" ref="C1013">_xlfn.TEXTSPLIT(B1013, """")</f>
        <v>#VALUE!</v>
      </c>
      <c r="F1013" t="str" cm="1">
        <f t="array" ref="F1013">IF(D1013="","",_xldudf_A_ENTICON(D1013))</f>
        <v/>
      </c>
      <c r="H1013" t="e" vm="467">
        <v>#VALUE!</v>
      </c>
    </row>
    <row r="1014" spans="2:8" x14ac:dyDescent="0.25">
      <c r="B1014" s="3" t="s">
        <v>520</v>
      </c>
      <c r="C1014" t="str" cm="1">
        <f t="array" ref="C1014:E1014">_xlfn.TEXTSPLIT(B1014, """")</f>
        <v xml:space="preserve">violin = </v>
      </c>
      <c r="D1014" t="str">
        <v>Violin</v>
      </c>
      <c r="E1014" t="str">
        <v/>
      </c>
      <c r="F1014" t="e" cm="1" vm="511">
        <f t="array" ref="F1014">IF(D1014="","",_xldudf_A_ENTICON(D1014))</f>
        <v>#VALUE!</v>
      </c>
      <c r="H1014" t="e" vm="468">
        <v>#VALUE!</v>
      </c>
    </row>
    <row r="1015" spans="2:8" x14ac:dyDescent="0.25">
      <c r="B1015" s="3"/>
      <c r="C1015" t="e" cm="1">
        <f t="array" ref="C1015">_xlfn.TEXTSPLIT(B1015, """")</f>
        <v>#VALUE!</v>
      </c>
      <c r="F1015" t="str" cm="1">
        <f t="array" ref="F1015">IF(D1015="","",_xldudf_A_ENTICON(D1015))</f>
        <v/>
      </c>
      <c r="H1015" t="e" vm="469">
        <v>#VALUE!</v>
      </c>
    </row>
    <row r="1016" spans="2:8" x14ac:dyDescent="0.25">
      <c r="B1016" s="3" t="s">
        <v>521</v>
      </c>
      <c r="C1016" t="str" cm="1">
        <f t="array" ref="C1016:E1016">_xlfn.TEXTSPLIT(B1016, """")</f>
        <v xml:space="preserve">virtualNetwork = </v>
      </c>
      <c r="D1016" t="str">
        <v>VirtualNetwork</v>
      </c>
      <c r="E1016" t="str">
        <v/>
      </c>
      <c r="F1016" t="e" cm="1" vm="512">
        <f t="array" ref="F1016">IF(D1016="","",_xldudf_A_ENTICON(D1016))</f>
        <v>#VALUE!</v>
      </c>
      <c r="H1016" t="e" vm="470">
        <v>#VALUE!</v>
      </c>
    </row>
    <row r="1017" spans="2:8" x14ac:dyDescent="0.25">
      <c r="B1017" s="3"/>
      <c r="C1017" t="e" cm="1">
        <f t="array" ref="C1017">_xlfn.TEXTSPLIT(B1017, """")</f>
        <v>#VALUE!</v>
      </c>
      <c r="F1017" t="str" cm="1">
        <f t="array" ref="F1017">IF(D1017="","",_xldudf_A_ENTICON(D1017))</f>
        <v/>
      </c>
      <c r="H1017" t="e" vm="471">
        <v>#VALUE!</v>
      </c>
    </row>
    <row r="1018" spans="2:8" x14ac:dyDescent="0.25">
      <c r="B1018" s="3" t="s">
        <v>522</v>
      </c>
      <c r="C1018" t="str" cm="1">
        <f t="array" ref="C1018:E1018">_xlfn.TEXTSPLIT(B1018, """")</f>
        <v xml:space="preserve">voicemail = </v>
      </c>
      <c r="D1018" t="str">
        <v>Voicemail</v>
      </c>
      <c r="E1018" t="str">
        <v/>
      </c>
      <c r="F1018" t="e" cm="1" vm="513">
        <f t="array" ref="F1018">IF(D1018="","",_xldudf_A_ENTICON(D1018))</f>
        <v>#VALUE!</v>
      </c>
      <c r="H1018" t="e" vm="472">
        <v>#VALUE!</v>
      </c>
    </row>
    <row r="1019" spans="2:8" x14ac:dyDescent="0.25">
      <c r="B1019" s="3"/>
      <c r="C1019" t="e" cm="1">
        <f t="array" ref="C1019">_xlfn.TEXTSPLIT(B1019, """")</f>
        <v>#VALUE!</v>
      </c>
      <c r="F1019" t="str" cm="1">
        <f t="array" ref="F1019">IF(D1019="","",_xldudf_A_ENTICON(D1019))</f>
        <v/>
      </c>
      <c r="H1019" t="e" vm="473">
        <v>#VALUE!</v>
      </c>
    </row>
    <row r="1020" spans="2:8" x14ac:dyDescent="0.25">
      <c r="B1020" s="3" t="s">
        <v>523</v>
      </c>
      <c r="C1020" t="str" cm="1">
        <f t="array" ref="C1020:E1020">_xlfn.TEXTSPLIT(B1020, """")</f>
        <v xml:space="preserve">vote = </v>
      </c>
      <c r="D1020" t="str">
        <v>Vote</v>
      </c>
      <c r="E1020" t="str">
        <v/>
      </c>
      <c r="F1020" t="e" cm="1" vm="514">
        <f t="array" ref="F1020">IF(D1020="","",_xldudf_A_ENTICON(D1020))</f>
        <v>#VALUE!</v>
      </c>
      <c r="H1020" t="e" vm="474">
        <v>#VALUE!</v>
      </c>
    </row>
    <row r="1021" spans="2:8" x14ac:dyDescent="0.25">
      <c r="B1021" s="3"/>
      <c r="C1021" t="e" cm="1">
        <f t="array" ref="C1021">_xlfn.TEXTSPLIT(B1021, """")</f>
        <v>#VALUE!</v>
      </c>
      <c r="F1021" t="str" cm="1">
        <f t="array" ref="F1021">IF(D1021="","",_xldudf_A_ENTICON(D1021))</f>
        <v/>
      </c>
      <c r="H1021" t="e" vm="475">
        <v>#VALUE!</v>
      </c>
    </row>
    <row r="1022" spans="2:8" x14ac:dyDescent="0.25">
      <c r="B1022" s="3" t="s">
        <v>524</v>
      </c>
      <c r="C1022" t="str" cm="1">
        <f t="array" ref="C1022:E1022">_xlfn.TEXTSPLIT(B1022, """")</f>
        <v xml:space="preserve">walkieTalkie = </v>
      </c>
      <c r="D1022" t="str">
        <v>WalkieTalkie</v>
      </c>
      <c r="E1022" t="str">
        <v/>
      </c>
      <c r="F1022" t="e" cm="1" vm="515">
        <f t="array" ref="F1022">IF(D1022="","",_xldudf_A_ENTICON(D1022))</f>
        <v>#VALUE!</v>
      </c>
      <c r="H1022" t="e" vm="476">
        <v>#VALUE!</v>
      </c>
    </row>
    <row r="1023" spans="2:8" x14ac:dyDescent="0.25">
      <c r="B1023" s="3"/>
      <c r="C1023" t="e" cm="1">
        <f t="array" ref="C1023">_xlfn.TEXTSPLIT(B1023, """")</f>
        <v>#VALUE!</v>
      </c>
      <c r="F1023" t="str" cm="1">
        <f t="array" ref="F1023">IF(D1023="","",_xldudf_A_ENTICON(D1023))</f>
        <v/>
      </c>
      <c r="H1023" t="e" vm="477">
        <v>#VALUE!</v>
      </c>
    </row>
    <row r="1024" spans="2:8" x14ac:dyDescent="0.25">
      <c r="B1024" s="3" t="s">
        <v>525</v>
      </c>
      <c r="C1024" t="str" cm="1">
        <f t="array" ref="C1024:E1024">_xlfn.TEXTSPLIT(B1024, """")</f>
        <v xml:space="preserve">wallet = </v>
      </c>
      <c r="D1024" t="str">
        <v>Wallet</v>
      </c>
      <c r="E1024" t="str">
        <v/>
      </c>
      <c r="F1024" t="e" cm="1" vm="516">
        <f t="array" ref="F1024">IF(D1024="","",_xldudf_A_ENTICON(D1024))</f>
        <v>#VALUE!</v>
      </c>
      <c r="H1024" t="e" vm="478">
        <v>#VALUE!</v>
      </c>
    </row>
    <row r="1025" spans="2:8" x14ac:dyDescent="0.25">
      <c r="B1025" s="3"/>
      <c r="C1025" t="e" cm="1">
        <f t="array" ref="C1025">_xlfn.TEXTSPLIT(B1025, """")</f>
        <v>#VALUE!</v>
      </c>
      <c r="F1025" t="str" cm="1">
        <f t="array" ref="F1025">IF(D1025="","",_xldudf_A_ENTICON(D1025))</f>
        <v/>
      </c>
      <c r="H1025" t="e" vm="479">
        <v>#VALUE!</v>
      </c>
    </row>
    <row r="1026" spans="2:8" x14ac:dyDescent="0.25">
      <c r="B1026" s="3" t="s">
        <v>526</v>
      </c>
      <c r="C1026" t="str" cm="1">
        <f t="array" ref="C1026:E1026">_xlfn.TEXTSPLIT(B1026, """")</f>
        <v xml:space="preserve">walletCreditCard = </v>
      </c>
      <c r="D1026" t="str">
        <v>WalletCreditCard</v>
      </c>
      <c r="E1026" t="str">
        <v/>
      </c>
      <c r="F1026" t="e" cm="1" vm="517">
        <f t="array" ref="F1026">IF(D1026="","",_xldudf_A_ENTICON(D1026))</f>
        <v>#VALUE!</v>
      </c>
      <c r="H1026" t="e" vm="480">
        <v>#VALUE!</v>
      </c>
    </row>
    <row r="1027" spans="2:8" x14ac:dyDescent="0.25">
      <c r="B1027" s="3"/>
      <c r="C1027" t="e" cm="1">
        <f t="array" ref="C1027">_xlfn.TEXTSPLIT(B1027, """")</f>
        <v>#VALUE!</v>
      </c>
      <c r="F1027" t="str" cm="1">
        <f t="array" ref="F1027">IF(D1027="","",_xldudf_A_ENTICON(D1027))</f>
        <v/>
      </c>
      <c r="H1027" t="e" vm="481">
        <v>#VALUE!</v>
      </c>
    </row>
    <row r="1028" spans="2:8" x14ac:dyDescent="0.25">
      <c r="B1028" s="3" t="s">
        <v>527</v>
      </c>
      <c r="C1028" t="str" cm="1">
        <f t="array" ref="C1028:E1028">_xlfn.TEXTSPLIT(B1028, """")</f>
        <v xml:space="preserve">wallpaper = </v>
      </c>
      <c r="D1028" t="str">
        <v>Wallpaper</v>
      </c>
      <c r="E1028" t="str">
        <v/>
      </c>
      <c r="F1028" t="e" cm="1" vm="518">
        <f t="array" ref="F1028">IF(D1028="","",_xldudf_A_ENTICON(D1028))</f>
        <v>#VALUE!</v>
      </c>
      <c r="H1028" t="e" vm="482">
        <v>#VALUE!</v>
      </c>
    </row>
    <row r="1029" spans="2:8" x14ac:dyDescent="0.25">
      <c r="B1029" s="3"/>
      <c r="C1029" t="e" cm="1">
        <f t="array" ref="C1029">_xlfn.TEXTSPLIT(B1029, """")</f>
        <v>#VALUE!</v>
      </c>
      <c r="F1029" t="str" cm="1">
        <f t="array" ref="F1029">IF(D1029="","",_xldudf_A_ENTICON(D1029))</f>
        <v/>
      </c>
      <c r="H1029" t="e" vm="483">
        <v>#VALUE!</v>
      </c>
    </row>
    <row r="1030" spans="2:8" x14ac:dyDescent="0.25">
      <c r="B1030" s="3" t="s">
        <v>528</v>
      </c>
      <c r="C1030" t="str" cm="1">
        <f t="array" ref="C1030:E1030">_xlfn.TEXTSPLIT(B1030, """")</f>
        <v xml:space="preserve">wand = </v>
      </c>
      <c r="D1030" t="str">
        <v>Wand</v>
      </c>
      <c r="E1030" t="str">
        <v/>
      </c>
      <c r="F1030" t="e" cm="1" vm="519">
        <f t="array" ref="F1030">IF(D1030="","",_xldudf_A_ENTICON(D1030))</f>
        <v>#VALUE!</v>
      </c>
      <c r="H1030" t="e" vm="484">
        <v>#VALUE!</v>
      </c>
    </row>
    <row r="1031" spans="2:8" x14ac:dyDescent="0.25">
      <c r="B1031" s="3"/>
      <c r="C1031" t="e" cm="1">
        <f t="array" ref="C1031">_xlfn.TEXTSPLIT(B1031, """")</f>
        <v>#VALUE!</v>
      </c>
      <c r="F1031" t="str" cm="1">
        <f t="array" ref="F1031">IF(D1031="","",_xldudf_A_ENTICON(D1031))</f>
        <v/>
      </c>
      <c r="H1031" t="e" vm="485">
        <v>#VALUE!</v>
      </c>
    </row>
    <row r="1032" spans="2:8" x14ac:dyDescent="0.25">
      <c r="B1032" s="3" t="s">
        <v>529</v>
      </c>
      <c r="C1032" t="str" cm="1">
        <f t="array" ref="C1032:E1032">_xlfn.TEXTSPLIT(B1032, """")</f>
        <v xml:space="preserve">warning = </v>
      </c>
      <c r="D1032" t="str">
        <v>Warning</v>
      </c>
      <c r="E1032" t="str">
        <v/>
      </c>
      <c r="F1032" t="e" cm="1" vm="520">
        <f t="array" ref="F1032">IF(D1032="","",_xldudf_A_ENTICON(D1032))</f>
        <v>#VALUE!</v>
      </c>
      <c r="H1032" t="e" vm="486">
        <v>#VALUE!</v>
      </c>
    </row>
    <row r="1033" spans="2:8" x14ac:dyDescent="0.25">
      <c r="B1033" s="3"/>
      <c r="C1033" t="e" cm="1">
        <f t="array" ref="C1033">_xlfn.TEXTSPLIT(B1033, """")</f>
        <v>#VALUE!</v>
      </c>
      <c r="F1033" t="str" cm="1">
        <f t="array" ref="F1033">IF(D1033="","",_xldudf_A_ENTICON(D1033))</f>
        <v/>
      </c>
      <c r="H1033" t="e" vm="487">
        <v>#VALUE!</v>
      </c>
    </row>
    <row r="1034" spans="2:8" x14ac:dyDescent="0.25">
      <c r="B1034" s="3" t="s">
        <v>530</v>
      </c>
      <c r="C1034" t="str" cm="1">
        <f t="array" ref="C1034:E1034">_xlfn.TEXTSPLIT(B1034, """")</f>
        <v xml:space="preserve">weatherBlowingSnow = </v>
      </c>
      <c r="D1034" t="str">
        <v>WeatherBlowingSnow</v>
      </c>
      <c r="E1034" t="str">
        <v/>
      </c>
      <c r="F1034" t="e" cm="1" vm="521">
        <f t="array" ref="F1034">IF(D1034="","",_xldudf_A_ENTICON(D1034))</f>
        <v>#VALUE!</v>
      </c>
      <c r="H1034" t="e" vm="488">
        <v>#VALUE!</v>
      </c>
    </row>
    <row r="1035" spans="2:8" x14ac:dyDescent="0.25">
      <c r="B1035" s="3"/>
      <c r="C1035" t="e" cm="1">
        <f t="array" ref="C1035">_xlfn.TEXTSPLIT(B1035, """")</f>
        <v>#VALUE!</v>
      </c>
      <c r="F1035" t="str" cm="1">
        <f t="array" ref="F1035">IF(D1035="","",_xldudf_A_ENTICON(D1035))</f>
        <v/>
      </c>
      <c r="H1035" t="e" vm="489">
        <v>#VALUE!</v>
      </c>
    </row>
    <row r="1036" spans="2:8" x14ac:dyDescent="0.25">
      <c r="B1036" s="3" t="s">
        <v>531</v>
      </c>
      <c r="C1036" t="str" cm="1">
        <f t="array" ref="C1036:E1036">_xlfn.TEXTSPLIT(B1036, """")</f>
        <v xml:space="preserve">weatherCloudy = </v>
      </c>
      <c r="D1036" t="str">
        <v>WeatherCloudy</v>
      </c>
      <c r="E1036" t="str">
        <v/>
      </c>
      <c r="F1036" t="e" cm="1" vm="522">
        <f t="array" ref="F1036">IF(D1036="","",_xldudf_A_ENTICON(D1036))</f>
        <v>#VALUE!</v>
      </c>
      <c r="H1036" t="e" vm="490">
        <v>#VALUE!</v>
      </c>
    </row>
    <row r="1037" spans="2:8" x14ac:dyDescent="0.25">
      <c r="B1037" s="3"/>
      <c r="C1037" t="e" cm="1">
        <f t="array" ref="C1037">_xlfn.TEXTSPLIT(B1037, """")</f>
        <v>#VALUE!</v>
      </c>
      <c r="F1037" t="str" cm="1">
        <f t="array" ref="F1037">IF(D1037="","",_xldudf_A_ENTICON(D1037))</f>
        <v/>
      </c>
      <c r="H1037" t="e" vm="491">
        <v>#VALUE!</v>
      </c>
    </row>
    <row r="1038" spans="2:8" x14ac:dyDescent="0.25">
      <c r="B1038" s="3" t="s">
        <v>532</v>
      </c>
      <c r="C1038" t="str" cm="1">
        <f t="array" ref="C1038:E1038">_xlfn.TEXTSPLIT(B1038, """")</f>
        <v xml:space="preserve">weatherDrizzle = </v>
      </c>
      <c r="D1038" t="str">
        <v>WeatherDrizzle</v>
      </c>
      <c r="E1038" t="str">
        <v/>
      </c>
      <c r="F1038" t="e" cm="1" vm="523">
        <f t="array" ref="F1038">IF(D1038="","",_xldudf_A_ENTICON(D1038))</f>
        <v>#VALUE!</v>
      </c>
      <c r="H1038" t="e" vm="492">
        <v>#VALUE!</v>
      </c>
    </row>
    <row r="1039" spans="2:8" x14ac:dyDescent="0.25">
      <c r="B1039" s="3"/>
      <c r="C1039" t="e" cm="1">
        <f t="array" ref="C1039">_xlfn.TEXTSPLIT(B1039, """")</f>
        <v>#VALUE!</v>
      </c>
      <c r="F1039" t="str" cm="1">
        <f t="array" ref="F1039">IF(D1039="","",_xldudf_A_ENTICON(D1039))</f>
        <v/>
      </c>
      <c r="H1039" t="e" vm="493">
        <v>#VALUE!</v>
      </c>
    </row>
    <row r="1040" spans="2:8" x14ac:dyDescent="0.25">
      <c r="B1040" s="3" t="s">
        <v>533</v>
      </c>
      <c r="C1040" t="str" cm="1">
        <f t="array" ref="C1040:E1040">_xlfn.TEXTSPLIT(B1040, """")</f>
        <v xml:space="preserve">weatherDuststorm = </v>
      </c>
      <c r="D1040" t="str">
        <v>WeatherDuststorm</v>
      </c>
      <c r="E1040" t="str">
        <v/>
      </c>
      <c r="F1040" t="e" cm="1" vm="524">
        <f t="array" ref="F1040">IF(D1040="","",_xldudf_A_ENTICON(D1040))</f>
        <v>#VALUE!</v>
      </c>
      <c r="H1040" t="e" vm="494">
        <v>#VALUE!</v>
      </c>
    </row>
    <row r="1041" spans="2:8" x14ac:dyDescent="0.25">
      <c r="B1041" s="3"/>
      <c r="C1041" t="e" cm="1">
        <f t="array" ref="C1041">_xlfn.TEXTSPLIT(B1041, """")</f>
        <v>#VALUE!</v>
      </c>
      <c r="F1041" t="str" cm="1">
        <f t="array" ref="F1041">IF(D1041="","",_xldudf_A_ENTICON(D1041))</f>
        <v/>
      </c>
      <c r="H1041" t="e" vm="495">
        <v>#VALUE!</v>
      </c>
    </row>
    <row r="1042" spans="2:8" x14ac:dyDescent="0.25">
      <c r="B1042" s="3" t="s">
        <v>534</v>
      </c>
      <c r="C1042" t="str" cm="1">
        <f t="array" ref="C1042:E1042">_xlfn.TEXTSPLIT(B1042, """")</f>
        <v xml:space="preserve">weatherFog = </v>
      </c>
      <c r="D1042" t="str">
        <v>WeatherFog</v>
      </c>
      <c r="E1042" t="str">
        <v/>
      </c>
      <c r="F1042" t="e" cm="1" vm="525">
        <f t="array" ref="F1042">IF(D1042="","",_xldudf_A_ENTICON(D1042))</f>
        <v>#VALUE!</v>
      </c>
      <c r="H1042" t="e" vm="496">
        <v>#VALUE!</v>
      </c>
    </row>
    <row r="1043" spans="2:8" x14ac:dyDescent="0.25">
      <c r="B1043" s="3"/>
      <c r="C1043" t="e" cm="1">
        <f t="array" ref="C1043">_xlfn.TEXTSPLIT(B1043, """")</f>
        <v>#VALUE!</v>
      </c>
      <c r="F1043" t="str" cm="1">
        <f t="array" ref="F1043">IF(D1043="","",_xldudf_A_ENTICON(D1043))</f>
        <v/>
      </c>
      <c r="H1043" t="e" vm="497">
        <v>#VALUE!</v>
      </c>
    </row>
    <row r="1044" spans="2:8" x14ac:dyDescent="0.25">
      <c r="B1044" s="3" t="s">
        <v>535</v>
      </c>
      <c r="C1044" t="str" cm="1">
        <f t="array" ref="C1044:E1044">_xlfn.TEXTSPLIT(B1044, """")</f>
        <v xml:space="preserve">weatherHailDay = </v>
      </c>
      <c r="D1044" t="str">
        <v>WeatherHailDay</v>
      </c>
      <c r="E1044" t="str">
        <v/>
      </c>
      <c r="F1044" t="e" cm="1" vm="526">
        <f t="array" ref="F1044">IF(D1044="","",_xldudf_A_ENTICON(D1044))</f>
        <v>#VALUE!</v>
      </c>
      <c r="H1044" t="e" vm="498">
        <v>#VALUE!</v>
      </c>
    </row>
    <row r="1045" spans="2:8" x14ac:dyDescent="0.25">
      <c r="B1045" s="3"/>
      <c r="C1045" t="e" cm="1">
        <f t="array" ref="C1045">_xlfn.TEXTSPLIT(B1045, """")</f>
        <v>#VALUE!</v>
      </c>
      <c r="F1045" t="str" cm="1">
        <f t="array" ref="F1045">IF(D1045="","",_xldudf_A_ENTICON(D1045))</f>
        <v/>
      </c>
      <c r="H1045" t="e" vm="499">
        <v>#VALUE!</v>
      </c>
    </row>
    <row r="1046" spans="2:8" x14ac:dyDescent="0.25">
      <c r="B1046" s="3" t="s">
        <v>536</v>
      </c>
      <c r="C1046" t="str" cm="1">
        <f t="array" ref="C1046:E1046">_xlfn.TEXTSPLIT(B1046, """")</f>
        <v xml:space="preserve">weatherHailNight = </v>
      </c>
      <c r="D1046" t="str">
        <v>WeatherHailNight</v>
      </c>
      <c r="E1046" t="str">
        <v/>
      </c>
      <c r="F1046" t="e" cm="1" vm="527">
        <f t="array" ref="F1046">IF(D1046="","",_xldudf_A_ENTICON(D1046))</f>
        <v>#VALUE!</v>
      </c>
      <c r="H1046" t="e" vm="500">
        <v>#VALUE!</v>
      </c>
    </row>
    <row r="1047" spans="2:8" x14ac:dyDescent="0.25">
      <c r="B1047" s="3"/>
      <c r="C1047" t="e" cm="1">
        <f t="array" ref="C1047">_xlfn.TEXTSPLIT(B1047, """")</f>
        <v>#VALUE!</v>
      </c>
      <c r="F1047" t="str" cm="1">
        <f t="array" ref="F1047">IF(D1047="","",_xldudf_A_ENTICON(D1047))</f>
        <v/>
      </c>
      <c r="H1047" t="e" vm="501">
        <v>#VALUE!</v>
      </c>
    </row>
    <row r="1048" spans="2:8" x14ac:dyDescent="0.25">
      <c r="B1048" s="3" t="s">
        <v>537</v>
      </c>
      <c r="C1048" t="str" cm="1">
        <f t="array" ref="C1048:E1048">_xlfn.TEXTSPLIT(B1048, """")</f>
        <v xml:space="preserve">weatherHaze = </v>
      </c>
      <c r="D1048" t="str">
        <v>WeatherHaze</v>
      </c>
      <c r="E1048" t="str">
        <v/>
      </c>
      <c r="F1048" t="e" cm="1" vm="528">
        <f t="array" ref="F1048">IF(D1048="","",_xldudf_A_ENTICON(D1048))</f>
        <v>#VALUE!</v>
      </c>
      <c r="H1048" t="e" vm="502">
        <v>#VALUE!</v>
      </c>
    </row>
    <row r="1049" spans="2:8" x14ac:dyDescent="0.25">
      <c r="B1049" s="3"/>
      <c r="C1049" t="e" cm="1">
        <f t="array" ref="C1049">_xlfn.TEXTSPLIT(B1049, """")</f>
        <v>#VALUE!</v>
      </c>
      <c r="F1049" t="str" cm="1">
        <f t="array" ref="F1049">IF(D1049="","",_xldudf_A_ENTICON(D1049))</f>
        <v/>
      </c>
      <c r="H1049" t="e" vm="503">
        <v>#VALUE!</v>
      </c>
    </row>
    <row r="1050" spans="2:8" x14ac:dyDescent="0.25">
      <c r="B1050" s="3" t="s">
        <v>538</v>
      </c>
      <c r="C1050" t="str" cm="1">
        <f t="array" ref="C1050:E1050">_xlfn.TEXTSPLIT(B1050, """")</f>
        <v xml:space="preserve">weatherMoon = </v>
      </c>
      <c r="D1050" t="str">
        <v>WeatherMoon</v>
      </c>
      <c r="E1050" t="str">
        <v/>
      </c>
      <c r="F1050" t="e" cm="1" vm="529">
        <f t="array" ref="F1050">IF(D1050="","",_xldudf_A_ENTICON(D1050))</f>
        <v>#VALUE!</v>
      </c>
      <c r="H1050" t="e" vm="504">
        <v>#VALUE!</v>
      </c>
    </row>
    <row r="1051" spans="2:8" x14ac:dyDescent="0.25">
      <c r="B1051" s="3"/>
      <c r="C1051" t="e" cm="1">
        <f t="array" ref="C1051">_xlfn.TEXTSPLIT(B1051, """")</f>
        <v>#VALUE!</v>
      </c>
      <c r="F1051" t="str" cm="1">
        <f t="array" ref="F1051">IF(D1051="","",_xldudf_A_ENTICON(D1051))</f>
        <v/>
      </c>
      <c r="H1051" t="e" vm="505">
        <v>#VALUE!</v>
      </c>
    </row>
    <row r="1052" spans="2:8" x14ac:dyDescent="0.25">
      <c r="B1052" s="3" t="s">
        <v>539</v>
      </c>
      <c r="C1052" t="str" cm="1">
        <f t="array" ref="C1052:E1052">_xlfn.TEXTSPLIT(B1052, """")</f>
        <v xml:space="preserve">weatherPartlyCloudyDay = </v>
      </c>
      <c r="D1052" t="str">
        <v>WeatherPartlyCloudyDay</v>
      </c>
      <c r="E1052" t="str">
        <v/>
      </c>
      <c r="F1052" t="e" cm="1" vm="530">
        <f t="array" ref="F1052">IF(D1052="","",_xldudf_A_ENTICON(D1052))</f>
        <v>#VALUE!</v>
      </c>
      <c r="H1052" t="e" vm="506">
        <v>#VALUE!</v>
      </c>
    </row>
    <row r="1053" spans="2:8" x14ac:dyDescent="0.25">
      <c r="B1053" s="3"/>
      <c r="C1053" t="e" cm="1">
        <f t="array" ref="C1053">_xlfn.TEXTSPLIT(B1053, """")</f>
        <v>#VALUE!</v>
      </c>
      <c r="F1053" t="str" cm="1">
        <f t="array" ref="F1053">IF(D1053="","",_xldudf_A_ENTICON(D1053))</f>
        <v/>
      </c>
      <c r="H1053" t="e" vm="507">
        <v>#VALUE!</v>
      </c>
    </row>
    <row r="1054" spans="2:8" x14ac:dyDescent="0.25">
      <c r="B1054" s="3" t="s">
        <v>540</v>
      </c>
      <c r="C1054" t="str" cm="1">
        <f t="array" ref="C1054:E1054">_xlfn.TEXTSPLIT(B1054, """")</f>
        <v xml:space="preserve">weatherPartlyCloudyNight = </v>
      </c>
      <c r="D1054" t="str">
        <v>WeatherPartlyCloudyNight</v>
      </c>
      <c r="E1054" t="str">
        <v/>
      </c>
      <c r="F1054" t="e" cm="1" vm="531">
        <f t="array" ref="F1054">IF(D1054="","",_xldudf_A_ENTICON(D1054))</f>
        <v>#VALUE!</v>
      </c>
      <c r="H1054" t="e" vm="508">
        <v>#VALUE!</v>
      </c>
    </row>
    <row r="1055" spans="2:8" x14ac:dyDescent="0.25">
      <c r="B1055" s="3"/>
      <c r="C1055" t="e" cm="1">
        <f t="array" ref="C1055">_xlfn.TEXTSPLIT(B1055, """")</f>
        <v>#VALUE!</v>
      </c>
      <c r="F1055" t="str" cm="1">
        <f t="array" ref="F1055">IF(D1055="","",_xldudf_A_ENTICON(D1055))</f>
        <v/>
      </c>
      <c r="H1055" t="e" vm="509">
        <v>#VALUE!</v>
      </c>
    </row>
    <row r="1056" spans="2:8" x14ac:dyDescent="0.25">
      <c r="B1056" s="3" t="s">
        <v>541</v>
      </c>
      <c r="C1056" t="str" cm="1">
        <f t="array" ref="C1056:E1056">_xlfn.TEXTSPLIT(B1056, """")</f>
        <v xml:space="preserve">weatherRain = </v>
      </c>
      <c r="D1056" t="str">
        <v>WeatherRain</v>
      </c>
      <c r="E1056" t="str">
        <v/>
      </c>
      <c r="F1056" t="e" cm="1" vm="532">
        <f t="array" ref="F1056">IF(D1056="","",_xldudf_A_ENTICON(D1056))</f>
        <v>#VALUE!</v>
      </c>
      <c r="H1056" t="e" vm="510">
        <v>#VALUE!</v>
      </c>
    </row>
    <row r="1057" spans="2:8" x14ac:dyDescent="0.25">
      <c r="B1057" s="3"/>
      <c r="C1057" t="e" cm="1">
        <f t="array" ref="C1057">_xlfn.TEXTSPLIT(B1057, """")</f>
        <v>#VALUE!</v>
      </c>
      <c r="F1057" t="str" cm="1">
        <f t="array" ref="F1057">IF(D1057="","",_xldudf_A_ENTICON(D1057))</f>
        <v/>
      </c>
      <c r="H1057" t="e" vm="511">
        <v>#VALUE!</v>
      </c>
    </row>
    <row r="1058" spans="2:8" x14ac:dyDescent="0.25">
      <c r="B1058" s="3" t="s">
        <v>542</v>
      </c>
      <c r="C1058" t="str" cm="1">
        <f t="array" ref="C1058:E1058">_xlfn.TEXTSPLIT(B1058, """")</f>
        <v xml:space="preserve">weatherRainShowersDay = </v>
      </c>
      <c r="D1058" t="str">
        <v>WeatherRainShowersDay</v>
      </c>
      <c r="E1058" t="str">
        <v/>
      </c>
      <c r="F1058" t="e" cm="1" vm="533">
        <f t="array" ref="F1058">IF(D1058="","",_xldudf_A_ENTICON(D1058))</f>
        <v>#VALUE!</v>
      </c>
      <c r="H1058" t="e" vm="512">
        <v>#VALUE!</v>
      </c>
    </row>
    <row r="1059" spans="2:8" x14ac:dyDescent="0.25">
      <c r="B1059" s="3"/>
      <c r="C1059" t="e" cm="1">
        <f t="array" ref="C1059">_xlfn.TEXTSPLIT(B1059, """")</f>
        <v>#VALUE!</v>
      </c>
      <c r="F1059" t="str" cm="1">
        <f t="array" ref="F1059">IF(D1059="","",_xldudf_A_ENTICON(D1059))</f>
        <v/>
      </c>
      <c r="H1059" t="e" vm="513">
        <v>#VALUE!</v>
      </c>
    </row>
    <row r="1060" spans="2:8" x14ac:dyDescent="0.25">
      <c r="B1060" s="3" t="s">
        <v>543</v>
      </c>
      <c r="C1060" t="str" cm="1">
        <f t="array" ref="C1060:E1060">_xlfn.TEXTSPLIT(B1060, """")</f>
        <v xml:space="preserve">weatherRainShowersNight = </v>
      </c>
      <c r="D1060" t="str">
        <v>WeatherRainShowersNight</v>
      </c>
      <c r="E1060" t="str">
        <v/>
      </c>
      <c r="F1060" t="e" cm="1" vm="534">
        <f t="array" ref="F1060">IF(D1060="","",_xldudf_A_ENTICON(D1060))</f>
        <v>#VALUE!</v>
      </c>
      <c r="H1060" t="e" vm="514">
        <v>#VALUE!</v>
      </c>
    </row>
    <row r="1061" spans="2:8" x14ac:dyDescent="0.25">
      <c r="B1061" s="3"/>
      <c r="C1061" t="e" cm="1">
        <f t="array" ref="C1061">_xlfn.TEXTSPLIT(B1061, """")</f>
        <v>#VALUE!</v>
      </c>
      <c r="F1061" t="str" cm="1">
        <f t="array" ref="F1061">IF(D1061="","",_xldudf_A_ENTICON(D1061))</f>
        <v/>
      </c>
      <c r="H1061" t="e" vm="515">
        <v>#VALUE!</v>
      </c>
    </row>
    <row r="1062" spans="2:8" x14ac:dyDescent="0.25">
      <c r="B1062" s="3" t="s">
        <v>544</v>
      </c>
      <c r="C1062" t="str" cm="1">
        <f t="array" ref="C1062:E1062">_xlfn.TEXTSPLIT(B1062, """")</f>
        <v xml:space="preserve">weatherRainSnow = </v>
      </c>
      <c r="D1062" t="str">
        <v>WeatherRainSnow</v>
      </c>
      <c r="E1062" t="str">
        <v/>
      </c>
      <c r="F1062" t="e" cm="1" vm="535">
        <f t="array" ref="F1062">IF(D1062="","",_xldudf_A_ENTICON(D1062))</f>
        <v>#VALUE!</v>
      </c>
      <c r="H1062" t="e" vm="516">
        <v>#VALUE!</v>
      </c>
    </row>
    <row r="1063" spans="2:8" x14ac:dyDescent="0.25">
      <c r="B1063" s="3"/>
      <c r="C1063" t="e" cm="1">
        <f t="array" ref="C1063">_xlfn.TEXTSPLIT(B1063, """")</f>
        <v>#VALUE!</v>
      </c>
      <c r="F1063" t="str" cm="1">
        <f t="array" ref="F1063">IF(D1063="","",_xldudf_A_ENTICON(D1063))</f>
        <v/>
      </c>
      <c r="H1063" t="e" vm="517">
        <v>#VALUE!</v>
      </c>
    </row>
    <row r="1064" spans="2:8" x14ac:dyDescent="0.25">
      <c r="B1064" s="3" t="s">
        <v>545</v>
      </c>
      <c r="C1064" t="str" cm="1">
        <f t="array" ref="C1064:E1064">_xlfn.TEXTSPLIT(B1064, """")</f>
        <v xml:space="preserve">weatherSnow = </v>
      </c>
      <c r="D1064" t="str">
        <v>WeatherSnow</v>
      </c>
      <c r="E1064" t="str">
        <v/>
      </c>
      <c r="F1064" t="e" cm="1" vm="536">
        <f t="array" ref="F1064">IF(D1064="","",_xldudf_A_ENTICON(D1064))</f>
        <v>#VALUE!</v>
      </c>
      <c r="H1064" t="e" vm="518">
        <v>#VALUE!</v>
      </c>
    </row>
    <row r="1065" spans="2:8" x14ac:dyDescent="0.25">
      <c r="B1065" s="3"/>
      <c r="C1065" t="e" cm="1">
        <f t="array" ref="C1065">_xlfn.TEXTSPLIT(B1065, """")</f>
        <v>#VALUE!</v>
      </c>
      <c r="F1065" t="str" cm="1">
        <f t="array" ref="F1065">IF(D1065="","",_xldudf_A_ENTICON(D1065))</f>
        <v/>
      </c>
      <c r="H1065" t="e" vm="519">
        <v>#VALUE!</v>
      </c>
    </row>
    <row r="1066" spans="2:8" x14ac:dyDescent="0.25">
      <c r="B1066" s="3" t="s">
        <v>546</v>
      </c>
      <c r="C1066" t="str" cm="1">
        <f t="array" ref="C1066:E1066">_xlfn.TEXTSPLIT(B1066, """")</f>
        <v xml:space="preserve">weatherSnowflake = </v>
      </c>
      <c r="D1066" t="str">
        <v>WeatherSnowflake</v>
      </c>
      <c r="E1066" t="str">
        <v/>
      </c>
      <c r="F1066" t="e" cm="1" vm="537">
        <f t="array" ref="F1066">IF(D1066="","",_xldudf_A_ENTICON(D1066))</f>
        <v>#VALUE!</v>
      </c>
      <c r="H1066" t="e" vm="520">
        <v>#VALUE!</v>
      </c>
    </row>
    <row r="1067" spans="2:8" x14ac:dyDescent="0.25">
      <c r="B1067" s="3"/>
      <c r="C1067" t="e" cm="1">
        <f t="array" ref="C1067">_xlfn.TEXTSPLIT(B1067, """")</f>
        <v>#VALUE!</v>
      </c>
      <c r="F1067" t="str" cm="1">
        <f t="array" ref="F1067">IF(D1067="","",_xldudf_A_ENTICON(D1067))</f>
        <v/>
      </c>
      <c r="H1067" t="e" vm="521">
        <v>#VALUE!</v>
      </c>
    </row>
    <row r="1068" spans="2:8" x14ac:dyDescent="0.25">
      <c r="B1068" s="3" t="s">
        <v>547</v>
      </c>
      <c r="C1068" t="str" cm="1">
        <f t="array" ref="C1068:E1068">_xlfn.TEXTSPLIT(B1068, """")</f>
        <v xml:space="preserve">weatherSnowShowerDay = </v>
      </c>
      <c r="D1068" t="str">
        <v>WeatherSnowShowerDay</v>
      </c>
      <c r="E1068" t="str">
        <v/>
      </c>
      <c r="F1068" t="e" cm="1" vm="538">
        <f t="array" ref="F1068">IF(D1068="","",_xldudf_A_ENTICON(D1068))</f>
        <v>#VALUE!</v>
      </c>
      <c r="H1068" t="e" vm="522">
        <v>#VALUE!</v>
      </c>
    </row>
    <row r="1069" spans="2:8" x14ac:dyDescent="0.25">
      <c r="B1069" s="3"/>
      <c r="C1069" t="e" cm="1">
        <f t="array" ref="C1069">_xlfn.TEXTSPLIT(B1069, """")</f>
        <v>#VALUE!</v>
      </c>
      <c r="F1069" t="str" cm="1">
        <f t="array" ref="F1069">IF(D1069="","",_xldudf_A_ENTICON(D1069))</f>
        <v/>
      </c>
      <c r="H1069" t="e" vm="523">
        <v>#VALUE!</v>
      </c>
    </row>
    <row r="1070" spans="2:8" x14ac:dyDescent="0.25">
      <c r="B1070" s="3" t="s">
        <v>548</v>
      </c>
      <c r="C1070" t="str" cm="1">
        <f t="array" ref="C1070:E1070">_xlfn.TEXTSPLIT(B1070, """")</f>
        <v xml:space="preserve">weatherSnowShowerNight = </v>
      </c>
      <c r="D1070" t="str">
        <v>WeatherSnowShowerNight</v>
      </c>
      <c r="E1070" t="str">
        <v/>
      </c>
      <c r="F1070" t="e" cm="1" vm="539">
        <f t="array" ref="F1070">IF(D1070="","",_xldudf_A_ENTICON(D1070))</f>
        <v>#VALUE!</v>
      </c>
      <c r="H1070" t="e" vm="524">
        <v>#VALUE!</v>
      </c>
    </row>
    <row r="1071" spans="2:8" x14ac:dyDescent="0.25">
      <c r="B1071" s="3"/>
      <c r="C1071" t="e" cm="1">
        <f t="array" ref="C1071">_xlfn.TEXTSPLIT(B1071, """")</f>
        <v>#VALUE!</v>
      </c>
      <c r="F1071" t="str" cm="1">
        <f t="array" ref="F1071">IF(D1071="","",_xldudf_A_ENTICON(D1071))</f>
        <v/>
      </c>
      <c r="H1071" t="e" vm="525">
        <v>#VALUE!</v>
      </c>
    </row>
    <row r="1072" spans="2:8" x14ac:dyDescent="0.25">
      <c r="B1072" s="3" t="s">
        <v>549</v>
      </c>
      <c r="C1072" t="str" cm="1">
        <f t="array" ref="C1072:E1072">_xlfn.TEXTSPLIT(B1072, """")</f>
        <v xml:space="preserve">weatherSqualls = </v>
      </c>
      <c r="D1072" t="str">
        <v>WeatherSqualls</v>
      </c>
      <c r="E1072" t="str">
        <v/>
      </c>
      <c r="F1072" t="e" cm="1" vm="540">
        <f t="array" ref="F1072">IF(D1072="","",_xldudf_A_ENTICON(D1072))</f>
        <v>#VALUE!</v>
      </c>
      <c r="H1072" t="e" vm="526">
        <v>#VALUE!</v>
      </c>
    </row>
    <row r="1073" spans="2:8" x14ac:dyDescent="0.25">
      <c r="B1073" s="3"/>
      <c r="C1073" t="e" cm="1">
        <f t="array" ref="C1073">_xlfn.TEXTSPLIT(B1073, """")</f>
        <v>#VALUE!</v>
      </c>
      <c r="F1073" t="str" cm="1">
        <f t="array" ref="F1073">IF(D1073="","",_xldudf_A_ENTICON(D1073))</f>
        <v/>
      </c>
      <c r="H1073" t="e" vm="527">
        <v>#VALUE!</v>
      </c>
    </row>
    <row r="1074" spans="2:8" x14ac:dyDescent="0.25">
      <c r="B1074" s="3" t="s">
        <v>550</v>
      </c>
      <c r="C1074" t="str" cm="1">
        <f t="array" ref="C1074:E1074">_xlfn.TEXTSPLIT(B1074, """")</f>
        <v xml:space="preserve">weatherSunnyHigh = </v>
      </c>
      <c r="D1074" t="str">
        <v>WeatherSunnyHigh</v>
      </c>
      <c r="E1074" t="str">
        <v/>
      </c>
      <c r="F1074" t="e" cm="1" vm="541">
        <f t="array" ref="F1074">IF(D1074="","",_xldudf_A_ENTICON(D1074))</f>
        <v>#VALUE!</v>
      </c>
      <c r="H1074" t="e" vm="528">
        <v>#VALUE!</v>
      </c>
    </row>
    <row r="1075" spans="2:8" x14ac:dyDescent="0.25">
      <c r="B1075" s="3"/>
      <c r="C1075" t="e" cm="1">
        <f t="array" ref="C1075">_xlfn.TEXTSPLIT(B1075, """")</f>
        <v>#VALUE!</v>
      </c>
      <c r="F1075" t="str" cm="1">
        <f t="array" ref="F1075">IF(D1075="","",_xldudf_A_ENTICON(D1075))</f>
        <v/>
      </c>
      <c r="H1075" t="e" vm="529">
        <v>#VALUE!</v>
      </c>
    </row>
    <row r="1076" spans="2:8" x14ac:dyDescent="0.25">
      <c r="B1076" s="3" t="s">
        <v>551</v>
      </c>
      <c r="C1076" t="str" cm="1">
        <f t="array" ref="C1076:E1076">_xlfn.TEXTSPLIT(B1076, """")</f>
        <v xml:space="preserve">weatherSunnyLow = </v>
      </c>
      <c r="D1076" t="str">
        <v>WeatherSunnyLow</v>
      </c>
      <c r="E1076" t="str">
        <v/>
      </c>
      <c r="F1076" t="e" cm="1" vm="542">
        <f t="array" ref="F1076">IF(D1076="","",_xldudf_A_ENTICON(D1076))</f>
        <v>#VALUE!</v>
      </c>
      <c r="H1076" t="e" vm="530">
        <v>#VALUE!</v>
      </c>
    </row>
    <row r="1077" spans="2:8" x14ac:dyDescent="0.25">
      <c r="B1077" s="3"/>
      <c r="C1077" t="e" cm="1">
        <f t="array" ref="C1077">_xlfn.TEXTSPLIT(B1077, """")</f>
        <v>#VALUE!</v>
      </c>
      <c r="F1077" t="str" cm="1">
        <f t="array" ref="F1077">IF(D1077="","",_xldudf_A_ENTICON(D1077))</f>
        <v/>
      </c>
      <c r="H1077" t="e" vm="531">
        <v>#VALUE!</v>
      </c>
    </row>
    <row r="1078" spans="2:8" x14ac:dyDescent="0.25">
      <c r="B1078" s="3" t="s">
        <v>552</v>
      </c>
      <c r="C1078" t="str" cm="1">
        <f t="array" ref="C1078:E1078">_xlfn.TEXTSPLIT(B1078, """")</f>
        <v xml:space="preserve">weatherThunderstorm = </v>
      </c>
      <c r="D1078" t="str">
        <v>WeatherThunderstorm</v>
      </c>
      <c r="E1078" t="str">
        <v/>
      </c>
      <c r="F1078" t="e" cm="1" vm="543">
        <f t="array" ref="F1078">IF(D1078="","",_xldudf_A_ENTICON(D1078))</f>
        <v>#VALUE!</v>
      </c>
      <c r="H1078" t="e" vm="532">
        <v>#VALUE!</v>
      </c>
    </row>
    <row r="1079" spans="2:8" x14ac:dyDescent="0.25">
      <c r="B1079" s="3"/>
      <c r="C1079" t="e" cm="1">
        <f t="array" ref="C1079">_xlfn.TEXTSPLIT(B1079, """")</f>
        <v>#VALUE!</v>
      </c>
      <c r="F1079" t="str" cm="1">
        <f t="array" ref="F1079">IF(D1079="","",_xldudf_A_ENTICON(D1079))</f>
        <v/>
      </c>
      <c r="H1079" t="e" vm="533">
        <v>#VALUE!</v>
      </c>
    </row>
    <row r="1080" spans="2:8" x14ac:dyDescent="0.25">
      <c r="B1080" s="3" t="s">
        <v>553</v>
      </c>
      <c r="C1080" t="str" cm="1">
        <f t="array" ref="C1080:E1080">_xlfn.TEXTSPLIT(B1080, """")</f>
        <v xml:space="preserve">webAsset = </v>
      </c>
      <c r="D1080" t="str">
        <v>WebAsset</v>
      </c>
      <c r="E1080" t="str">
        <v/>
      </c>
      <c r="F1080" t="e" cm="1" vm="544">
        <f t="array" ref="F1080">IF(D1080="","",_xldudf_A_ENTICON(D1080))</f>
        <v>#VALUE!</v>
      </c>
      <c r="H1080" t="e" vm="534">
        <v>#VALUE!</v>
      </c>
    </row>
    <row r="1081" spans="2:8" x14ac:dyDescent="0.25">
      <c r="B1081" s="3"/>
      <c r="C1081" t="e" cm="1">
        <f t="array" ref="C1081">_xlfn.TEXTSPLIT(B1081, """")</f>
        <v>#VALUE!</v>
      </c>
      <c r="F1081" t="str" cm="1">
        <f t="array" ref="F1081">IF(D1081="","",_xldudf_A_ENTICON(D1081))</f>
        <v/>
      </c>
      <c r="H1081" t="e" vm="535">
        <v>#VALUE!</v>
      </c>
    </row>
    <row r="1082" spans="2:8" x14ac:dyDescent="0.25">
      <c r="B1082" s="3" t="s">
        <v>554</v>
      </c>
      <c r="C1082" t="str" cm="1">
        <f t="array" ref="C1082:E1082">_xlfn.TEXTSPLIT(B1082, """")</f>
        <v xml:space="preserve">whiteboard = </v>
      </c>
      <c r="D1082" t="str">
        <v>Whiteboard</v>
      </c>
      <c r="E1082" t="str">
        <v/>
      </c>
      <c r="F1082" t="e" cm="1" vm="545">
        <f t="array" ref="F1082">IF(D1082="","",_xldudf_A_ENTICON(D1082))</f>
        <v>#VALUE!</v>
      </c>
      <c r="H1082" t="e" vm="536">
        <v>#VALUE!</v>
      </c>
    </row>
    <row r="1083" spans="2:8" x14ac:dyDescent="0.25">
      <c r="B1083" s="3"/>
      <c r="C1083" t="e" cm="1">
        <f t="array" ref="C1083">_xlfn.TEXTSPLIT(B1083, """")</f>
        <v>#VALUE!</v>
      </c>
      <c r="F1083" t="str" cm="1">
        <f t="array" ref="F1083">IF(D1083="","",_xldudf_A_ENTICON(D1083))</f>
        <v/>
      </c>
      <c r="H1083" t="e" vm="537">
        <v>#VALUE!</v>
      </c>
    </row>
    <row r="1084" spans="2:8" x14ac:dyDescent="0.25">
      <c r="B1084" s="3" t="s">
        <v>555</v>
      </c>
      <c r="C1084" t="str" cm="1">
        <f t="array" ref="C1084:E1084">_xlfn.TEXTSPLIT(B1084, """")</f>
        <v xml:space="preserve">wifi1 = </v>
      </c>
      <c r="D1084" t="str">
        <v>Wifi1</v>
      </c>
      <c r="E1084" t="str">
        <v/>
      </c>
      <c r="F1084" t="e" cm="1" vm="546">
        <f t="array" ref="F1084">IF(D1084="","",_xldudf_A_ENTICON(D1084))</f>
        <v>#VALUE!</v>
      </c>
      <c r="H1084" t="e" vm="538">
        <v>#VALUE!</v>
      </c>
    </row>
    <row r="1085" spans="2:8" x14ac:dyDescent="0.25">
      <c r="B1085" s="3"/>
      <c r="C1085" t="e" cm="1">
        <f t="array" ref="C1085">_xlfn.TEXTSPLIT(B1085, """")</f>
        <v>#VALUE!</v>
      </c>
      <c r="F1085" t="str" cm="1">
        <f t="array" ref="F1085">IF(D1085="","",_xldudf_A_ENTICON(D1085))</f>
        <v/>
      </c>
      <c r="H1085" t="e" vm="539">
        <v>#VALUE!</v>
      </c>
    </row>
    <row r="1086" spans="2:8" x14ac:dyDescent="0.25">
      <c r="B1086" s="3" t="s">
        <v>556</v>
      </c>
      <c r="C1086" t="str" cm="1">
        <f t="array" ref="C1086:E1086">_xlfn.TEXTSPLIT(B1086, """")</f>
        <v xml:space="preserve">wifi2 = </v>
      </c>
      <c r="D1086" t="str">
        <v>Wifi2</v>
      </c>
      <c r="E1086" t="str">
        <v/>
      </c>
      <c r="F1086" t="e" cm="1" vm="547">
        <f t="array" ref="F1086">IF(D1086="","",_xldudf_A_ENTICON(D1086))</f>
        <v>#VALUE!</v>
      </c>
      <c r="H1086" t="e" vm="540">
        <v>#VALUE!</v>
      </c>
    </row>
    <row r="1087" spans="2:8" x14ac:dyDescent="0.25">
      <c r="B1087" s="3"/>
      <c r="C1087" t="e" cm="1">
        <f t="array" ref="C1087">_xlfn.TEXTSPLIT(B1087, """")</f>
        <v>#VALUE!</v>
      </c>
      <c r="F1087" t="str" cm="1">
        <f t="array" ref="F1087">IF(D1087="","",_xldudf_A_ENTICON(D1087))</f>
        <v/>
      </c>
      <c r="H1087" t="e" vm="541">
        <v>#VALUE!</v>
      </c>
    </row>
    <row r="1088" spans="2:8" x14ac:dyDescent="0.25">
      <c r="B1088" s="3" t="s">
        <v>557</v>
      </c>
      <c r="C1088" t="str" cm="1">
        <f t="array" ref="C1088:E1088">_xlfn.TEXTSPLIT(B1088, """")</f>
        <v xml:space="preserve">window = </v>
      </c>
      <c r="D1088" t="str">
        <v>Window</v>
      </c>
      <c r="E1088" t="str">
        <v/>
      </c>
      <c r="F1088" t="e" cm="1" vm="548">
        <f t="array" ref="F1088">IF(D1088="","",_xldudf_A_ENTICON(D1088))</f>
        <v>#VALUE!</v>
      </c>
      <c r="H1088" t="e" vm="542">
        <v>#VALUE!</v>
      </c>
    </row>
    <row r="1089" spans="2:8" x14ac:dyDescent="0.25">
      <c r="B1089" s="3"/>
      <c r="C1089" t="e" cm="1">
        <f t="array" ref="C1089">_xlfn.TEXTSPLIT(B1089, """")</f>
        <v>#VALUE!</v>
      </c>
      <c r="F1089" t="str" cm="1">
        <f t="array" ref="F1089">IF(D1089="","",_xldudf_A_ENTICON(D1089))</f>
        <v/>
      </c>
      <c r="H1089" t="e" vm="543">
        <v>#VALUE!</v>
      </c>
    </row>
    <row r="1090" spans="2:8" x14ac:dyDescent="0.25">
      <c r="B1090" s="3" t="s">
        <v>558</v>
      </c>
      <c r="C1090" t="str" cm="1">
        <f t="array" ref="C1090:E1090">_xlfn.TEXTSPLIT(B1090, """")</f>
        <v xml:space="preserve">windowMultiple = </v>
      </c>
      <c r="D1090" t="str">
        <v>WindowMultiple</v>
      </c>
      <c r="E1090" t="str">
        <v/>
      </c>
      <c r="F1090" t="e" cm="1" vm="549">
        <f t="array" ref="F1090">IF(D1090="","",_xldudf_A_ENTICON(D1090))</f>
        <v>#VALUE!</v>
      </c>
      <c r="H1090" t="e" vm="544">
        <v>#VALUE!</v>
      </c>
    </row>
    <row r="1091" spans="2:8" x14ac:dyDescent="0.25">
      <c r="B1091" s="3"/>
      <c r="C1091" t="e" cm="1">
        <f t="array" ref="C1091">_xlfn.TEXTSPLIT(B1091, """")</f>
        <v>#VALUE!</v>
      </c>
      <c r="F1091" t="str" cm="1">
        <f t="array" ref="F1091">IF(D1091="","",_xldudf_A_ENTICON(D1091))</f>
        <v/>
      </c>
      <c r="H1091" t="e" vm="545">
        <v>#VALUE!</v>
      </c>
    </row>
    <row r="1092" spans="2:8" x14ac:dyDescent="0.25">
      <c r="B1092" s="3" t="s">
        <v>559</v>
      </c>
      <c r="C1092" t="str" cm="1">
        <f t="array" ref="C1092:E1092">_xlfn.TEXTSPLIT(B1092, """")</f>
        <v xml:space="preserve">windowWrench = </v>
      </c>
      <c r="D1092" t="str">
        <v>WindowWrench</v>
      </c>
      <c r="E1092" t="str">
        <v/>
      </c>
      <c r="F1092" t="e" cm="1" vm="550">
        <f t="array" ref="F1092">IF(D1092="","",_xldudf_A_ENTICON(D1092))</f>
        <v>#VALUE!</v>
      </c>
      <c r="H1092" t="e" vm="546">
        <v>#VALUE!</v>
      </c>
    </row>
    <row r="1093" spans="2:8" x14ac:dyDescent="0.25">
      <c r="B1093" s="3"/>
      <c r="C1093" t="e" cm="1">
        <f t="array" ref="C1093">_xlfn.TEXTSPLIT(B1093, """")</f>
        <v>#VALUE!</v>
      </c>
      <c r="F1093" t="str" cm="1">
        <f t="array" ref="F1093">IF(D1093="","",_xldudf_A_ENTICON(D1093))</f>
        <v/>
      </c>
      <c r="H1093" t="e" vm="547">
        <v>#VALUE!</v>
      </c>
    </row>
    <row r="1094" spans="2:8" x14ac:dyDescent="0.25">
      <c r="B1094" s="3" t="s">
        <v>560</v>
      </c>
      <c r="C1094" t="str" cm="1">
        <f t="array" ref="C1094:E1094">_xlfn.TEXTSPLIT(B1094, """")</f>
        <v xml:space="preserve">wrench = </v>
      </c>
      <c r="D1094" t="str">
        <v>Wrench</v>
      </c>
      <c r="E1094" t="str">
        <v/>
      </c>
      <c r="F1094" t="e" cm="1" vm="551">
        <f t="array" ref="F1094">IF(D1094="","",_xldudf_A_ENTICON(D1094))</f>
        <v>#VALUE!</v>
      </c>
      <c r="H1094" t="e" vm="548">
        <v>#VALUE!</v>
      </c>
    </row>
    <row r="1095" spans="2:8" x14ac:dyDescent="0.25">
      <c r="B1095" s="3"/>
      <c r="C1095" t="e" cm="1">
        <f t="array" ref="C1095">_xlfn.TEXTSPLIT(B1095, """")</f>
        <v>#VALUE!</v>
      </c>
      <c r="F1095" t="str" cm="1">
        <f t="array" ref="F1095">IF(D1095="","",_xldudf_A_ENTICON(D1095))</f>
        <v/>
      </c>
      <c r="H1095" t="e" vm="549">
        <v>#VALUE!</v>
      </c>
    </row>
    <row r="1096" spans="2:8" x14ac:dyDescent="0.25">
      <c r="B1096" s="3" t="s">
        <v>561</v>
      </c>
      <c r="C1096" t="str" cm="1">
        <f t="array" ref="C1096:E1096">_xlfn.TEXTSPLIT(B1096, """")</f>
        <v xml:space="preserve">wrenchScrewdriver = </v>
      </c>
      <c r="D1096" t="str">
        <v>WrenchScrewdriver</v>
      </c>
      <c r="E1096" t="str">
        <v/>
      </c>
      <c r="F1096" t="e" cm="1" vm="552">
        <f t="array" ref="F1096">IF(D1096="","",_xldudf_A_ENTICON(D1096))</f>
        <v>#VALUE!</v>
      </c>
      <c r="H1096" t="e" vm="550">
        <v>#VALUE!</v>
      </c>
    </row>
    <row r="1097" spans="2:8" x14ac:dyDescent="0.25">
      <c r="B1097" s="3"/>
      <c r="C1097" t="e" cm="1">
        <f t="array" ref="C1097">_xlfn.TEXTSPLIT(B1097, """")</f>
        <v>#VALUE!</v>
      </c>
      <c r="F1097" t="str" cm="1">
        <f t="array" ref="F1097">IF(D1097="","",_xldudf_A_ENTICON(D1097))</f>
        <v/>
      </c>
      <c r="H1097" t="e" vm="551">
        <v>#VALUE!</v>
      </c>
    </row>
    <row r="1098" spans="2:8" x14ac:dyDescent="0.25">
      <c r="B1098" s="3" t="s">
        <v>562</v>
      </c>
      <c r="C1098" t="str" cm="1">
        <f t="array" ref="C1098:E1098">_xlfn.TEXTSPLIT(B1098, """")</f>
        <v xml:space="preserve">xray = </v>
      </c>
      <c r="D1098" t="str">
        <v>Xray</v>
      </c>
      <c r="E1098" t="str">
        <v/>
      </c>
      <c r="F1098" t="e" cm="1" vm="553">
        <f t="array" ref="F1098">IF(D1098="","",_xldudf_A_ENTICON(D1098))</f>
        <v>#VALUE!</v>
      </c>
      <c r="H1098" t="e" vm="552">
        <v>#VALUE!</v>
      </c>
    </row>
    <row r="1099" spans="2:8" x14ac:dyDescent="0.25">
      <c r="B1099" s="3"/>
      <c r="C1099" t="e" cm="1">
        <f t="array" ref="C1099">_xlfn.TEXTSPLIT(B1099, """")</f>
        <v>#VALUE!</v>
      </c>
      <c r="F1099" t="str" cm="1">
        <f t="array" ref="F1099">IF(D1099="","",_xldudf_A_ENTICON(D1099))</f>
        <v/>
      </c>
      <c r="H1099" t="e" vm="553">
        <v>#VALUE!</v>
      </c>
    </row>
    <row r="1100" spans="2:8" x14ac:dyDescent="0.25">
      <c r="B1100" s="3" t="s">
        <v>563</v>
      </c>
      <c r="C1100" t="str" cm="1">
        <f t="array" ref="C1100:E1100">_xlfn.TEXTSPLIT(B1100, """")</f>
        <v xml:space="preserve">yoga = </v>
      </c>
      <c r="D1100" t="str">
        <v>Yoga</v>
      </c>
      <c r="E1100" t="str">
        <v/>
      </c>
      <c r="F1100" t="e" cm="1" vm="554">
        <f t="array" ref="F1100">IF(D1100="","",_xldudf_A_ENTICON(D1100))</f>
        <v>#VALUE!</v>
      </c>
      <c r="H1100" t="e" vm="554">
        <v>#VALUE!</v>
      </c>
    </row>
    <row r="1101" spans="2:8" x14ac:dyDescent="0.25">
      <c r="B1101" s="3"/>
      <c r="C1101" t="e" cm="1">
        <f t="array" ref="C1101">_xlfn.TEXTSPLIT(B1101, """")</f>
        <v>#VALUE!</v>
      </c>
      <c r="F1101" t="str" cm="1">
        <f t="array" ref="F1101">IF(D1101="","",_xldudf_A_ENTICON(D1101))</f>
        <v/>
      </c>
    </row>
  </sheetData>
  <sortState xmlns:xlrd2="http://schemas.microsoft.com/office/spreadsheetml/2017/richdata2" ref="H1:H1101">
    <sortCondition ref="H1:H1101"/>
  </sortState>
  <mergeCells count="550">
    <mergeCell ref="B1094:B1095"/>
    <mergeCell ref="B1096:B1097"/>
    <mergeCell ref="B1098:B1099"/>
    <mergeCell ref="B1100:B1101"/>
    <mergeCell ref="B1082:B1083"/>
    <mergeCell ref="B1084:B1085"/>
    <mergeCell ref="B1086:B1087"/>
    <mergeCell ref="B1088:B1089"/>
    <mergeCell ref="B1090:B1091"/>
    <mergeCell ref="B1092:B1093"/>
    <mergeCell ref="B1070:B1071"/>
    <mergeCell ref="B1072:B1073"/>
    <mergeCell ref="B1074:B1075"/>
    <mergeCell ref="B1076:B1077"/>
    <mergeCell ref="B1078:B1079"/>
    <mergeCell ref="B1080:B1081"/>
    <mergeCell ref="B1058:B1059"/>
    <mergeCell ref="B1060:B1061"/>
    <mergeCell ref="B1062:B1063"/>
    <mergeCell ref="B1064:B1065"/>
    <mergeCell ref="B1066:B1067"/>
    <mergeCell ref="B1068:B1069"/>
    <mergeCell ref="B1046:B1047"/>
    <mergeCell ref="B1048:B1049"/>
    <mergeCell ref="B1050:B1051"/>
    <mergeCell ref="B1052:B1053"/>
    <mergeCell ref="B1054:B1055"/>
    <mergeCell ref="B1056:B1057"/>
    <mergeCell ref="B1034:B1035"/>
    <mergeCell ref="B1036:B1037"/>
    <mergeCell ref="B1038:B1039"/>
    <mergeCell ref="B1040:B1041"/>
    <mergeCell ref="B1042:B1043"/>
    <mergeCell ref="B1044:B1045"/>
    <mergeCell ref="B1022:B1023"/>
    <mergeCell ref="B1024:B1025"/>
    <mergeCell ref="B1026:B1027"/>
    <mergeCell ref="B1028:B1029"/>
    <mergeCell ref="B1030:B1031"/>
    <mergeCell ref="B1032:B1033"/>
    <mergeCell ref="B1010:B1011"/>
    <mergeCell ref="B1012:B1013"/>
    <mergeCell ref="B1014:B1015"/>
    <mergeCell ref="B1016:B1017"/>
    <mergeCell ref="B1018:B1019"/>
    <mergeCell ref="B1020:B1021"/>
    <mergeCell ref="B998:B999"/>
    <mergeCell ref="B1000:B1001"/>
    <mergeCell ref="B1002:B1003"/>
    <mergeCell ref="B1004:B1005"/>
    <mergeCell ref="B1006:B1007"/>
    <mergeCell ref="B1008:B1009"/>
    <mergeCell ref="B986:B987"/>
    <mergeCell ref="B988:B989"/>
    <mergeCell ref="B990:B991"/>
    <mergeCell ref="B992:B993"/>
    <mergeCell ref="B994:B995"/>
    <mergeCell ref="B996:B997"/>
    <mergeCell ref="B974:B975"/>
    <mergeCell ref="B976:B977"/>
    <mergeCell ref="B978:B979"/>
    <mergeCell ref="B980:B981"/>
    <mergeCell ref="B982:B983"/>
    <mergeCell ref="B984:B985"/>
    <mergeCell ref="B962:B963"/>
    <mergeCell ref="B964:B965"/>
    <mergeCell ref="B966:B967"/>
    <mergeCell ref="B968:B969"/>
    <mergeCell ref="B970:B971"/>
    <mergeCell ref="B972:B973"/>
    <mergeCell ref="B950:B951"/>
    <mergeCell ref="B952:B953"/>
    <mergeCell ref="B954:B955"/>
    <mergeCell ref="B956:B957"/>
    <mergeCell ref="B958:B959"/>
    <mergeCell ref="B960:B961"/>
    <mergeCell ref="B938:B939"/>
    <mergeCell ref="B940:B941"/>
    <mergeCell ref="B942:B943"/>
    <mergeCell ref="B944:B945"/>
    <mergeCell ref="B946:B947"/>
    <mergeCell ref="B948:B949"/>
    <mergeCell ref="B926:B927"/>
    <mergeCell ref="B928:B929"/>
    <mergeCell ref="B930:B931"/>
    <mergeCell ref="B932:B933"/>
    <mergeCell ref="B934:B935"/>
    <mergeCell ref="B936:B937"/>
    <mergeCell ref="B914:B915"/>
    <mergeCell ref="B916:B917"/>
    <mergeCell ref="B918:B919"/>
    <mergeCell ref="B920:B921"/>
    <mergeCell ref="B922:B923"/>
    <mergeCell ref="B924:B925"/>
    <mergeCell ref="B902:B903"/>
    <mergeCell ref="B904:B905"/>
    <mergeCell ref="B906:B907"/>
    <mergeCell ref="B908:B909"/>
    <mergeCell ref="B910:B911"/>
    <mergeCell ref="B912:B913"/>
    <mergeCell ref="B890:B891"/>
    <mergeCell ref="B892:B893"/>
    <mergeCell ref="B894:B895"/>
    <mergeCell ref="B896:B897"/>
    <mergeCell ref="B898:B899"/>
    <mergeCell ref="B900:B901"/>
    <mergeCell ref="B878:B879"/>
    <mergeCell ref="B880:B881"/>
    <mergeCell ref="B882:B883"/>
    <mergeCell ref="B884:B885"/>
    <mergeCell ref="B886:B887"/>
    <mergeCell ref="B888:B889"/>
    <mergeCell ref="B866:B867"/>
    <mergeCell ref="B868:B869"/>
    <mergeCell ref="B870:B871"/>
    <mergeCell ref="B872:B873"/>
    <mergeCell ref="B874:B875"/>
    <mergeCell ref="B876:B877"/>
    <mergeCell ref="B854:B855"/>
    <mergeCell ref="B856:B857"/>
    <mergeCell ref="B858:B859"/>
    <mergeCell ref="B860:B861"/>
    <mergeCell ref="B862:B863"/>
    <mergeCell ref="B864:B865"/>
    <mergeCell ref="B842:B843"/>
    <mergeCell ref="B844:B845"/>
    <mergeCell ref="B846:B847"/>
    <mergeCell ref="B848:B849"/>
    <mergeCell ref="B850:B851"/>
    <mergeCell ref="B852:B853"/>
    <mergeCell ref="B830:B831"/>
    <mergeCell ref="B832:B833"/>
    <mergeCell ref="B834:B835"/>
    <mergeCell ref="B836:B837"/>
    <mergeCell ref="B838:B839"/>
    <mergeCell ref="B840:B841"/>
    <mergeCell ref="B818:B819"/>
    <mergeCell ref="B820:B821"/>
    <mergeCell ref="B822:B823"/>
    <mergeCell ref="B824:B825"/>
    <mergeCell ref="B826:B827"/>
    <mergeCell ref="B828:B829"/>
    <mergeCell ref="B806:B807"/>
    <mergeCell ref="B808:B809"/>
    <mergeCell ref="B810:B811"/>
    <mergeCell ref="B812:B813"/>
    <mergeCell ref="B814:B815"/>
    <mergeCell ref="B816:B817"/>
    <mergeCell ref="B794:B795"/>
    <mergeCell ref="B796:B797"/>
    <mergeCell ref="B798:B799"/>
    <mergeCell ref="B800:B801"/>
    <mergeCell ref="B802:B803"/>
    <mergeCell ref="B804:B805"/>
    <mergeCell ref="B782:B783"/>
    <mergeCell ref="B784:B785"/>
    <mergeCell ref="B786:B787"/>
    <mergeCell ref="B788:B789"/>
    <mergeCell ref="B790:B791"/>
    <mergeCell ref="B792:B793"/>
    <mergeCell ref="B770:B771"/>
    <mergeCell ref="B772:B773"/>
    <mergeCell ref="B774:B775"/>
    <mergeCell ref="B776:B777"/>
    <mergeCell ref="B778:B779"/>
    <mergeCell ref="B780:B781"/>
    <mergeCell ref="B758:B759"/>
    <mergeCell ref="B760:B761"/>
    <mergeCell ref="B762:B763"/>
    <mergeCell ref="B764:B765"/>
    <mergeCell ref="B766:B767"/>
    <mergeCell ref="B768:B769"/>
    <mergeCell ref="B746:B747"/>
    <mergeCell ref="B748:B749"/>
    <mergeCell ref="B750:B751"/>
    <mergeCell ref="B752:B753"/>
    <mergeCell ref="B754:B755"/>
    <mergeCell ref="B756:B757"/>
    <mergeCell ref="B734:B735"/>
    <mergeCell ref="B736:B737"/>
    <mergeCell ref="B738:B739"/>
    <mergeCell ref="B740:B741"/>
    <mergeCell ref="B742:B743"/>
    <mergeCell ref="B744:B745"/>
    <mergeCell ref="B722:B723"/>
    <mergeCell ref="B724:B725"/>
    <mergeCell ref="B726:B727"/>
    <mergeCell ref="B728:B729"/>
    <mergeCell ref="B730:B731"/>
    <mergeCell ref="B732:B733"/>
    <mergeCell ref="B710:B711"/>
    <mergeCell ref="B712:B713"/>
    <mergeCell ref="B714:B715"/>
    <mergeCell ref="B716:B717"/>
    <mergeCell ref="B718:B719"/>
    <mergeCell ref="B720:B721"/>
    <mergeCell ref="B698:B699"/>
    <mergeCell ref="B700:B701"/>
    <mergeCell ref="B702:B703"/>
    <mergeCell ref="B704:B705"/>
    <mergeCell ref="B706:B707"/>
    <mergeCell ref="B708:B709"/>
    <mergeCell ref="B686:B687"/>
    <mergeCell ref="B688:B689"/>
    <mergeCell ref="B690:B691"/>
    <mergeCell ref="B692:B693"/>
    <mergeCell ref="B694:B695"/>
    <mergeCell ref="B696:B697"/>
    <mergeCell ref="B674:B675"/>
    <mergeCell ref="B676:B677"/>
    <mergeCell ref="B678:B679"/>
    <mergeCell ref="B680:B681"/>
    <mergeCell ref="B682:B683"/>
    <mergeCell ref="B684:B685"/>
    <mergeCell ref="B662:B663"/>
    <mergeCell ref="B664:B665"/>
    <mergeCell ref="B666:B667"/>
    <mergeCell ref="B668:B669"/>
    <mergeCell ref="B670:B671"/>
    <mergeCell ref="B672:B673"/>
    <mergeCell ref="B650:B651"/>
    <mergeCell ref="B652:B653"/>
    <mergeCell ref="B654:B655"/>
    <mergeCell ref="B656:B657"/>
    <mergeCell ref="B658:B659"/>
    <mergeCell ref="B660:B661"/>
    <mergeCell ref="B638:B639"/>
    <mergeCell ref="B640:B641"/>
    <mergeCell ref="B642:B643"/>
    <mergeCell ref="B644:B645"/>
    <mergeCell ref="B646:B647"/>
    <mergeCell ref="B648:B649"/>
    <mergeCell ref="B626:B627"/>
    <mergeCell ref="B628:B629"/>
    <mergeCell ref="B630:B631"/>
    <mergeCell ref="B632:B633"/>
    <mergeCell ref="B634:B635"/>
    <mergeCell ref="B636:B637"/>
    <mergeCell ref="B614:B615"/>
    <mergeCell ref="B616:B617"/>
    <mergeCell ref="B618:B619"/>
    <mergeCell ref="B620:B621"/>
    <mergeCell ref="B622:B623"/>
    <mergeCell ref="B624:B625"/>
    <mergeCell ref="B602:B603"/>
    <mergeCell ref="B604:B605"/>
    <mergeCell ref="B606:B607"/>
    <mergeCell ref="B608:B609"/>
    <mergeCell ref="B610:B611"/>
    <mergeCell ref="B612:B613"/>
    <mergeCell ref="B590:B591"/>
    <mergeCell ref="B592:B593"/>
    <mergeCell ref="B594:B595"/>
    <mergeCell ref="B596:B597"/>
    <mergeCell ref="B598:B599"/>
    <mergeCell ref="B600:B601"/>
    <mergeCell ref="B578:B579"/>
    <mergeCell ref="B580:B581"/>
    <mergeCell ref="B582:B583"/>
    <mergeCell ref="B584:B585"/>
    <mergeCell ref="B586:B587"/>
    <mergeCell ref="B588:B589"/>
    <mergeCell ref="B566:B567"/>
    <mergeCell ref="B568:B569"/>
    <mergeCell ref="B570:B571"/>
    <mergeCell ref="B572:B573"/>
    <mergeCell ref="B574:B575"/>
    <mergeCell ref="B576:B577"/>
    <mergeCell ref="B554:B555"/>
    <mergeCell ref="B556:B557"/>
    <mergeCell ref="B558:B559"/>
    <mergeCell ref="B560:B561"/>
    <mergeCell ref="B562:B563"/>
    <mergeCell ref="B564:B565"/>
    <mergeCell ref="B542:B543"/>
    <mergeCell ref="B544:B545"/>
    <mergeCell ref="B546:B547"/>
    <mergeCell ref="B548:B549"/>
    <mergeCell ref="B550:B551"/>
    <mergeCell ref="B552:B553"/>
    <mergeCell ref="B530:B531"/>
    <mergeCell ref="B532:B533"/>
    <mergeCell ref="B534:B535"/>
    <mergeCell ref="B536:B537"/>
    <mergeCell ref="B538:B539"/>
    <mergeCell ref="B540:B541"/>
    <mergeCell ref="B518:B519"/>
    <mergeCell ref="B520:B521"/>
    <mergeCell ref="B522:B523"/>
    <mergeCell ref="B524:B525"/>
    <mergeCell ref="B526:B527"/>
    <mergeCell ref="B528:B529"/>
    <mergeCell ref="B506:B507"/>
    <mergeCell ref="B508:B509"/>
    <mergeCell ref="B510:B511"/>
    <mergeCell ref="B512:B513"/>
    <mergeCell ref="B514:B515"/>
    <mergeCell ref="B516:B517"/>
    <mergeCell ref="B494:B495"/>
    <mergeCell ref="B496:B497"/>
    <mergeCell ref="B498:B499"/>
    <mergeCell ref="B500:B501"/>
    <mergeCell ref="B502:B503"/>
    <mergeCell ref="B504:B505"/>
    <mergeCell ref="B482:B483"/>
    <mergeCell ref="B484:B485"/>
    <mergeCell ref="B486:B487"/>
    <mergeCell ref="B488:B489"/>
    <mergeCell ref="B490:B491"/>
    <mergeCell ref="B492:B493"/>
    <mergeCell ref="B470:B471"/>
    <mergeCell ref="B472:B473"/>
    <mergeCell ref="B474:B475"/>
    <mergeCell ref="B476:B477"/>
    <mergeCell ref="B478:B479"/>
    <mergeCell ref="B480:B481"/>
    <mergeCell ref="B458:B459"/>
    <mergeCell ref="B460:B461"/>
    <mergeCell ref="B462:B463"/>
    <mergeCell ref="B464:B465"/>
    <mergeCell ref="B466:B467"/>
    <mergeCell ref="B468:B469"/>
    <mergeCell ref="B446:B447"/>
    <mergeCell ref="B448:B449"/>
    <mergeCell ref="B450:B451"/>
    <mergeCell ref="B452:B453"/>
    <mergeCell ref="B454:B455"/>
    <mergeCell ref="B456:B457"/>
    <mergeCell ref="B434:B435"/>
    <mergeCell ref="B436:B437"/>
    <mergeCell ref="B438:B439"/>
    <mergeCell ref="B440:B441"/>
    <mergeCell ref="B442:B443"/>
    <mergeCell ref="B444:B445"/>
    <mergeCell ref="B422:B423"/>
    <mergeCell ref="B424:B425"/>
    <mergeCell ref="B426:B427"/>
    <mergeCell ref="B428:B429"/>
    <mergeCell ref="B430:B431"/>
    <mergeCell ref="B432:B433"/>
    <mergeCell ref="B410:B411"/>
    <mergeCell ref="B412:B413"/>
    <mergeCell ref="B414:B415"/>
    <mergeCell ref="B416:B417"/>
    <mergeCell ref="B418:B419"/>
    <mergeCell ref="B420:B421"/>
    <mergeCell ref="B398:B399"/>
    <mergeCell ref="B400:B401"/>
    <mergeCell ref="B402:B403"/>
    <mergeCell ref="B404:B405"/>
    <mergeCell ref="B406:B407"/>
    <mergeCell ref="B408:B409"/>
    <mergeCell ref="B386:B387"/>
    <mergeCell ref="B388:B389"/>
    <mergeCell ref="B390:B391"/>
    <mergeCell ref="B392:B393"/>
    <mergeCell ref="B394:B395"/>
    <mergeCell ref="B396:B397"/>
    <mergeCell ref="B374:B375"/>
    <mergeCell ref="B376:B377"/>
    <mergeCell ref="B378:B379"/>
    <mergeCell ref="B380:B381"/>
    <mergeCell ref="B382:B383"/>
    <mergeCell ref="B384:B385"/>
    <mergeCell ref="B362:B363"/>
    <mergeCell ref="B364:B365"/>
    <mergeCell ref="B366:B367"/>
    <mergeCell ref="B368:B369"/>
    <mergeCell ref="B370:B371"/>
    <mergeCell ref="B372:B373"/>
    <mergeCell ref="B350:B351"/>
    <mergeCell ref="B352:B353"/>
    <mergeCell ref="B354:B355"/>
    <mergeCell ref="B356:B357"/>
    <mergeCell ref="B358:B359"/>
    <mergeCell ref="B360:B361"/>
    <mergeCell ref="B338:B339"/>
    <mergeCell ref="B340:B341"/>
    <mergeCell ref="B342:B343"/>
    <mergeCell ref="B344:B345"/>
    <mergeCell ref="B346:B347"/>
    <mergeCell ref="B348:B349"/>
    <mergeCell ref="B326:B327"/>
    <mergeCell ref="B328:B329"/>
    <mergeCell ref="B330:B331"/>
    <mergeCell ref="B332:B333"/>
    <mergeCell ref="B334:B335"/>
    <mergeCell ref="B336:B337"/>
    <mergeCell ref="B314:B315"/>
    <mergeCell ref="B316:B317"/>
    <mergeCell ref="B318:B319"/>
    <mergeCell ref="B320:B321"/>
    <mergeCell ref="B322:B323"/>
    <mergeCell ref="B324:B325"/>
    <mergeCell ref="B302:B303"/>
    <mergeCell ref="B304:B305"/>
    <mergeCell ref="B306:B307"/>
    <mergeCell ref="B308:B309"/>
    <mergeCell ref="B310:B311"/>
    <mergeCell ref="B312:B313"/>
    <mergeCell ref="B290:B291"/>
    <mergeCell ref="B292:B293"/>
    <mergeCell ref="B294:B295"/>
    <mergeCell ref="B296:B297"/>
    <mergeCell ref="B298:B299"/>
    <mergeCell ref="B300:B301"/>
    <mergeCell ref="B278:B279"/>
    <mergeCell ref="B280:B281"/>
    <mergeCell ref="B282:B283"/>
    <mergeCell ref="B284:B285"/>
    <mergeCell ref="B286:B287"/>
    <mergeCell ref="B288:B289"/>
    <mergeCell ref="B266:B267"/>
    <mergeCell ref="B268:B269"/>
    <mergeCell ref="B270:B271"/>
    <mergeCell ref="B272:B273"/>
    <mergeCell ref="B274:B275"/>
    <mergeCell ref="B276:B277"/>
    <mergeCell ref="B254:B255"/>
    <mergeCell ref="B256:B257"/>
    <mergeCell ref="B258:B259"/>
    <mergeCell ref="B260:B261"/>
    <mergeCell ref="B262:B263"/>
    <mergeCell ref="B264:B265"/>
    <mergeCell ref="B242:B243"/>
    <mergeCell ref="B244:B245"/>
    <mergeCell ref="B246:B247"/>
    <mergeCell ref="B248:B249"/>
    <mergeCell ref="B250:B251"/>
    <mergeCell ref="B252:B253"/>
    <mergeCell ref="B230:B231"/>
    <mergeCell ref="B232:B233"/>
    <mergeCell ref="B234:B235"/>
    <mergeCell ref="B236:B237"/>
    <mergeCell ref="B238:B239"/>
    <mergeCell ref="B240:B241"/>
    <mergeCell ref="B218:B219"/>
    <mergeCell ref="B220:B221"/>
    <mergeCell ref="B222:B223"/>
    <mergeCell ref="B224:B225"/>
    <mergeCell ref="B226:B227"/>
    <mergeCell ref="B228:B229"/>
    <mergeCell ref="B206:B207"/>
    <mergeCell ref="B208:B209"/>
    <mergeCell ref="B210:B211"/>
    <mergeCell ref="B212:B213"/>
    <mergeCell ref="B214:B215"/>
    <mergeCell ref="B216:B217"/>
    <mergeCell ref="B194:B195"/>
    <mergeCell ref="B196:B197"/>
    <mergeCell ref="B198:B199"/>
    <mergeCell ref="B200:B201"/>
    <mergeCell ref="B202:B203"/>
    <mergeCell ref="B204:B205"/>
    <mergeCell ref="B182:B183"/>
    <mergeCell ref="B184:B185"/>
    <mergeCell ref="B186:B187"/>
    <mergeCell ref="B188:B189"/>
    <mergeCell ref="B190:B191"/>
    <mergeCell ref="B192:B193"/>
    <mergeCell ref="B170:B171"/>
    <mergeCell ref="B172:B173"/>
    <mergeCell ref="B174:B175"/>
    <mergeCell ref="B176:B177"/>
    <mergeCell ref="B178:B179"/>
    <mergeCell ref="B180:B181"/>
    <mergeCell ref="B158:B159"/>
    <mergeCell ref="B160:B161"/>
    <mergeCell ref="B162:B163"/>
    <mergeCell ref="B164:B165"/>
    <mergeCell ref="B166:B167"/>
    <mergeCell ref="B168:B169"/>
    <mergeCell ref="B146:B147"/>
    <mergeCell ref="B148:B149"/>
    <mergeCell ref="B150:B151"/>
    <mergeCell ref="B152:B153"/>
    <mergeCell ref="B154:B155"/>
    <mergeCell ref="B156:B157"/>
    <mergeCell ref="B134:B135"/>
    <mergeCell ref="B136:B137"/>
    <mergeCell ref="B138:B139"/>
    <mergeCell ref="B140:B141"/>
    <mergeCell ref="B142:B143"/>
    <mergeCell ref="B144:B145"/>
    <mergeCell ref="B122:B123"/>
    <mergeCell ref="B124:B125"/>
    <mergeCell ref="B126:B127"/>
    <mergeCell ref="B128:B129"/>
    <mergeCell ref="B130:B131"/>
    <mergeCell ref="B132:B133"/>
    <mergeCell ref="B110:B111"/>
    <mergeCell ref="B112:B113"/>
    <mergeCell ref="B114:B115"/>
    <mergeCell ref="B116:B117"/>
    <mergeCell ref="B118:B119"/>
    <mergeCell ref="B120:B121"/>
    <mergeCell ref="B98:B99"/>
    <mergeCell ref="B100:B101"/>
    <mergeCell ref="B102:B103"/>
    <mergeCell ref="B104:B105"/>
    <mergeCell ref="B106:B107"/>
    <mergeCell ref="B108:B109"/>
    <mergeCell ref="B86:B87"/>
    <mergeCell ref="B88:B89"/>
    <mergeCell ref="B90:B91"/>
    <mergeCell ref="B92:B93"/>
    <mergeCell ref="B94:B95"/>
    <mergeCell ref="B96:B97"/>
    <mergeCell ref="B74:B75"/>
    <mergeCell ref="B76:B77"/>
    <mergeCell ref="B78:B79"/>
    <mergeCell ref="B80:B81"/>
    <mergeCell ref="B82:B83"/>
    <mergeCell ref="B84:B85"/>
    <mergeCell ref="B62:B63"/>
    <mergeCell ref="B64:B65"/>
    <mergeCell ref="B66:B67"/>
    <mergeCell ref="B68:B69"/>
    <mergeCell ref="B70:B71"/>
    <mergeCell ref="B72:B73"/>
    <mergeCell ref="B50:B51"/>
    <mergeCell ref="B52:B53"/>
    <mergeCell ref="B54:B55"/>
    <mergeCell ref="B56:B57"/>
    <mergeCell ref="B58:B59"/>
    <mergeCell ref="B60:B61"/>
    <mergeCell ref="B38:B39"/>
    <mergeCell ref="B40:B41"/>
    <mergeCell ref="B42:B43"/>
    <mergeCell ref="B44:B45"/>
    <mergeCell ref="B46:B47"/>
    <mergeCell ref="B48:B49"/>
    <mergeCell ref="B26:B27"/>
    <mergeCell ref="B28:B29"/>
    <mergeCell ref="B30:B31"/>
    <mergeCell ref="B32:B33"/>
    <mergeCell ref="B34:B35"/>
    <mergeCell ref="B36:B37"/>
    <mergeCell ref="B14:B15"/>
    <mergeCell ref="B16:B17"/>
    <mergeCell ref="B18:B19"/>
    <mergeCell ref="B20:B21"/>
    <mergeCell ref="B22:B23"/>
    <mergeCell ref="B24:B25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icons</vt:lpstr>
      <vt:lpstr>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Leevi Olander</dc:creator>
  <cp:lastModifiedBy>Leevi Olander</cp:lastModifiedBy>
  <dcterms:created xsi:type="dcterms:W3CDTF">2026-02-12T23:31:40Z</dcterms:created>
  <dcterms:modified xsi:type="dcterms:W3CDTF">2026-04-07T02:03:32Z</dcterms:modified>
</cp:coreProperties>
</file>